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67947\Dropbox\Weekly Discussion TUe\Kappa\"/>
    </mc:Choice>
  </mc:AlternateContent>
  <xr:revisionPtr revIDLastSave="0" documentId="13_ncr:1_{E33BADA9-D5E4-40B2-9D6A-5DE3DF1224CD}" xr6:coauthVersionLast="47" xr6:coauthVersionMax="47" xr10:uidLastSave="{00000000-0000-0000-0000-000000000000}"/>
  <bookViews>
    <workbookView xWindow="28680" yWindow="-120" windowWidth="29040" windowHeight="15840" tabRatio="732" firstSheet="1" activeTab="11" xr2:uid="{65F9DDE7-F909-4B57-BD2F-6CCF487A83A3}"/>
  </bookViews>
  <sheets>
    <sheet name="CK" sheetId="1" r:id="rId1"/>
    <sheet name="WK_3class" sheetId="2" r:id="rId2"/>
    <sheet name="Paradox_3class" sheetId="3" r:id="rId3"/>
    <sheet name="WK_4class" sheetId="5" r:id="rId4"/>
    <sheet name="Paradox_4class" sheetId="8" r:id="rId5"/>
    <sheet name="WK_5class" sheetId="9" r:id="rId6"/>
    <sheet name="Paradox_5class" sheetId="10" r:id="rId7"/>
    <sheet name="WK_6class" sheetId="11" r:id="rId8"/>
    <sheet name="Paradox_6class" sheetId="12" r:id="rId9"/>
    <sheet name="WK_7class" sheetId="13" r:id="rId10"/>
    <sheet name="Paradox_7class" sheetId="14" r:id="rId11"/>
    <sheet name="Confusion" sheetId="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4" l="1"/>
  <c r="V7" i="4"/>
  <c r="V6" i="4"/>
  <c r="U8" i="4"/>
  <c r="U7" i="4"/>
  <c r="U6" i="4"/>
  <c r="T8" i="4"/>
  <c r="T7" i="4"/>
  <c r="T6" i="4"/>
  <c r="S8" i="4"/>
  <c r="S7" i="4"/>
  <c r="S6" i="4"/>
  <c r="R8" i="4"/>
  <c r="R7" i="4"/>
  <c r="R6" i="4"/>
  <c r="Q8" i="4"/>
  <c r="Q7" i="4"/>
  <c r="Q6" i="4"/>
  <c r="P8" i="4"/>
  <c r="P7" i="4"/>
  <c r="P6" i="4"/>
  <c r="O8" i="4"/>
  <c r="O7" i="4"/>
  <c r="O6" i="4"/>
  <c r="N8" i="4"/>
  <c r="N7" i="4"/>
  <c r="N6" i="4"/>
  <c r="M8" i="4"/>
  <c r="M7" i="4"/>
  <c r="M6" i="4"/>
  <c r="I45" i="14"/>
  <c r="H45" i="14"/>
  <c r="G45" i="14"/>
  <c r="F45" i="14"/>
  <c r="E45" i="14"/>
  <c r="D45" i="14"/>
  <c r="C45" i="14"/>
  <c r="B45" i="14"/>
  <c r="H44" i="14"/>
  <c r="G44" i="14"/>
  <c r="F44" i="14"/>
  <c r="E44" i="14"/>
  <c r="D44" i="14"/>
  <c r="C44" i="14"/>
  <c r="B44" i="14"/>
  <c r="H43" i="14"/>
  <c r="G43" i="14"/>
  <c r="F43" i="14"/>
  <c r="E43" i="14"/>
  <c r="D43" i="14"/>
  <c r="C43" i="14"/>
  <c r="B43" i="14"/>
  <c r="H42" i="14"/>
  <c r="G42" i="14"/>
  <c r="F42" i="14"/>
  <c r="E42" i="14"/>
  <c r="D42" i="14"/>
  <c r="C42" i="14"/>
  <c r="B42" i="14"/>
  <c r="H41" i="14"/>
  <c r="G41" i="14"/>
  <c r="F41" i="14"/>
  <c r="F46" i="14" s="1"/>
  <c r="E41" i="14"/>
  <c r="D41" i="14"/>
  <c r="C41" i="14"/>
  <c r="B41" i="14"/>
  <c r="H40" i="14"/>
  <c r="H46" i="14" s="1"/>
  <c r="G40" i="14"/>
  <c r="F40" i="14"/>
  <c r="E40" i="14"/>
  <c r="D40" i="14"/>
  <c r="C40" i="14"/>
  <c r="B40" i="14"/>
  <c r="H39" i="14"/>
  <c r="G39" i="14"/>
  <c r="F39" i="14"/>
  <c r="E39" i="14"/>
  <c r="D39" i="14"/>
  <c r="C39" i="14"/>
  <c r="B39" i="14"/>
  <c r="O19" i="14"/>
  <c r="I14" i="14"/>
  <c r="H14" i="14"/>
  <c r="G14" i="14"/>
  <c r="F14" i="14"/>
  <c r="E14" i="14"/>
  <c r="D14" i="14"/>
  <c r="C14" i="14"/>
  <c r="B14" i="14"/>
  <c r="AA13" i="14"/>
  <c r="Z13" i="14"/>
  <c r="Y13" i="14"/>
  <c r="X13" i="14"/>
  <c r="W13" i="14"/>
  <c r="V13" i="14"/>
  <c r="U13" i="14"/>
  <c r="I13" i="14"/>
  <c r="AA12" i="14"/>
  <c r="Z12" i="14"/>
  <c r="Y12" i="14"/>
  <c r="X12" i="14"/>
  <c r="W12" i="14"/>
  <c r="V12" i="14"/>
  <c r="U12" i="14"/>
  <c r="I12" i="14"/>
  <c r="AA11" i="14"/>
  <c r="Z11" i="14"/>
  <c r="Y11" i="14"/>
  <c r="X11" i="14"/>
  <c r="W11" i="14"/>
  <c r="V11" i="14"/>
  <c r="U11" i="14"/>
  <c r="I11" i="14"/>
  <c r="AA10" i="14"/>
  <c r="Z10" i="14"/>
  <c r="Y10" i="14"/>
  <c r="X10" i="14"/>
  <c r="W10" i="14"/>
  <c r="V10" i="14"/>
  <c r="U10" i="14"/>
  <c r="I10" i="14"/>
  <c r="AA9" i="14"/>
  <c r="Z9" i="14"/>
  <c r="Y9" i="14"/>
  <c r="X9" i="14"/>
  <c r="W9" i="14"/>
  <c r="V9" i="14"/>
  <c r="U9" i="14"/>
  <c r="I9" i="14"/>
  <c r="AA8" i="14"/>
  <c r="Z8" i="14"/>
  <c r="Y8" i="14"/>
  <c r="X8" i="14"/>
  <c r="W8" i="14"/>
  <c r="V8" i="14"/>
  <c r="U8" i="14"/>
  <c r="I8" i="14"/>
  <c r="AA7" i="14"/>
  <c r="Z7" i="14"/>
  <c r="Y7" i="14"/>
  <c r="X7" i="14"/>
  <c r="W7" i="14"/>
  <c r="V7" i="14"/>
  <c r="U7" i="14"/>
  <c r="U14" i="14" s="1"/>
  <c r="I7" i="14"/>
  <c r="H40" i="13"/>
  <c r="H41" i="13"/>
  <c r="H42" i="13"/>
  <c r="H43" i="13"/>
  <c r="H44" i="13"/>
  <c r="H45" i="13"/>
  <c r="H39" i="13"/>
  <c r="C45" i="13"/>
  <c r="D45" i="13"/>
  <c r="E45" i="13"/>
  <c r="F45" i="13"/>
  <c r="G45" i="13"/>
  <c r="B45" i="13"/>
  <c r="I14" i="13"/>
  <c r="I7" i="13"/>
  <c r="C14" i="13"/>
  <c r="D14" i="13"/>
  <c r="E14" i="13"/>
  <c r="F14" i="13"/>
  <c r="G14" i="13"/>
  <c r="H14" i="13"/>
  <c r="B14" i="13"/>
  <c r="I8" i="13"/>
  <c r="I9" i="13"/>
  <c r="I10" i="13"/>
  <c r="I11" i="13"/>
  <c r="I12" i="13"/>
  <c r="I13" i="13"/>
  <c r="V13" i="13"/>
  <c r="W13" i="13"/>
  <c r="X13" i="13"/>
  <c r="Y13" i="13"/>
  <c r="Z13" i="13"/>
  <c r="AA13" i="13"/>
  <c r="U13" i="13"/>
  <c r="Z8" i="13"/>
  <c r="AA8" i="13"/>
  <c r="Z9" i="13"/>
  <c r="AA9" i="13"/>
  <c r="Z10" i="13"/>
  <c r="AA10" i="13"/>
  <c r="Z11" i="13"/>
  <c r="AA11" i="13"/>
  <c r="Z12" i="13"/>
  <c r="AA12" i="13"/>
  <c r="AA7" i="13"/>
  <c r="O19" i="13"/>
  <c r="G44" i="13"/>
  <c r="F44" i="13"/>
  <c r="E44" i="13"/>
  <c r="D44" i="13"/>
  <c r="C44" i="13"/>
  <c r="B44" i="13"/>
  <c r="G43" i="13"/>
  <c r="F43" i="13"/>
  <c r="E43" i="13"/>
  <c r="D43" i="13"/>
  <c r="C43" i="13"/>
  <c r="B43" i="13"/>
  <c r="G42" i="13"/>
  <c r="F42" i="13"/>
  <c r="E42" i="13"/>
  <c r="D42" i="13"/>
  <c r="C42" i="13"/>
  <c r="B42" i="13"/>
  <c r="G41" i="13"/>
  <c r="F41" i="13"/>
  <c r="E41" i="13"/>
  <c r="D41" i="13"/>
  <c r="C41" i="13"/>
  <c r="B41" i="13"/>
  <c r="G40" i="13"/>
  <c r="F40" i="13"/>
  <c r="E40" i="13"/>
  <c r="D40" i="13"/>
  <c r="C40" i="13"/>
  <c r="B40" i="13"/>
  <c r="G39" i="13"/>
  <c r="F39" i="13"/>
  <c r="F46" i="13" s="1"/>
  <c r="E39" i="13"/>
  <c r="D39" i="13"/>
  <c r="C39" i="13"/>
  <c r="B39" i="13"/>
  <c r="B46" i="13" s="1"/>
  <c r="Y12" i="13"/>
  <c r="X12" i="13"/>
  <c r="W12" i="13"/>
  <c r="V12" i="13"/>
  <c r="U12" i="13"/>
  <c r="Y11" i="13"/>
  <c r="X11" i="13"/>
  <c r="W11" i="13"/>
  <c r="V11" i="13"/>
  <c r="U11" i="13"/>
  <c r="Y10" i="13"/>
  <c r="X10" i="13"/>
  <c r="W10" i="13"/>
  <c r="V10" i="13"/>
  <c r="U10" i="13"/>
  <c r="Y9" i="13"/>
  <c r="X9" i="13"/>
  <c r="W9" i="13"/>
  <c r="V9" i="13"/>
  <c r="U9" i="13"/>
  <c r="AB9" i="13" s="1"/>
  <c r="Y8" i="13"/>
  <c r="X8" i="13"/>
  <c r="W8" i="13"/>
  <c r="V8" i="13"/>
  <c r="U8" i="13"/>
  <c r="Z7" i="13"/>
  <c r="Y7" i="13"/>
  <c r="X7" i="13"/>
  <c r="W7" i="13"/>
  <c r="V7" i="13"/>
  <c r="U7" i="13"/>
  <c r="H42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G43" i="12" s="1"/>
  <c r="F37" i="12"/>
  <c r="E37" i="12"/>
  <c r="D37" i="12"/>
  <c r="C37" i="12"/>
  <c r="B37" i="12"/>
  <c r="B43" i="12" s="1"/>
  <c r="N18" i="12"/>
  <c r="H13" i="12"/>
  <c r="G13" i="12"/>
  <c r="F13" i="12"/>
  <c r="E13" i="12"/>
  <c r="D13" i="12"/>
  <c r="C13" i="12"/>
  <c r="B13" i="12"/>
  <c r="X12" i="12"/>
  <c r="W12" i="12"/>
  <c r="V12" i="12"/>
  <c r="U12" i="12"/>
  <c r="T12" i="12"/>
  <c r="S12" i="12"/>
  <c r="H12" i="12"/>
  <c r="X11" i="12"/>
  <c r="W11" i="12"/>
  <c r="V11" i="12"/>
  <c r="U11" i="12"/>
  <c r="T11" i="12"/>
  <c r="S11" i="12"/>
  <c r="H11" i="12"/>
  <c r="X10" i="12"/>
  <c r="W10" i="12"/>
  <c r="V10" i="12"/>
  <c r="U10" i="12"/>
  <c r="T10" i="12"/>
  <c r="S10" i="12"/>
  <c r="H10" i="12"/>
  <c r="X9" i="12"/>
  <c r="W9" i="12"/>
  <c r="V9" i="12"/>
  <c r="U9" i="12"/>
  <c r="T9" i="12"/>
  <c r="T13" i="12" s="1"/>
  <c r="S9" i="12"/>
  <c r="H9" i="12"/>
  <c r="X8" i="12"/>
  <c r="W8" i="12"/>
  <c r="V8" i="12"/>
  <c r="U8" i="12"/>
  <c r="T8" i="12"/>
  <c r="S8" i="12"/>
  <c r="H8" i="12"/>
  <c r="X7" i="12"/>
  <c r="W7" i="12"/>
  <c r="V7" i="12"/>
  <c r="U7" i="12"/>
  <c r="T7" i="12"/>
  <c r="S7" i="12"/>
  <c r="H7" i="12"/>
  <c r="N18" i="11"/>
  <c r="E24" i="11"/>
  <c r="V13" i="11"/>
  <c r="V24" i="11" s="1"/>
  <c r="W13" i="11"/>
  <c r="W24" i="11" s="1"/>
  <c r="G13" i="11"/>
  <c r="G54" i="11" s="1"/>
  <c r="H12" i="11"/>
  <c r="H7" i="11"/>
  <c r="H13" i="11"/>
  <c r="G24" i="11" s="1"/>
  <c r="B13" i="11"/>
  <c r="B24" i="11" s="1"/>
  <c r="C13" i="11"/>
  <c r="C24" i="11" s="1"/>
  <c r="D13" i="11"/>
  <c r="F13" i="11"/>
  <c r="F24" i="11" s="1"/>
  <c r="E13" i="11"/>
  <c r="E54" i="11" s="1"/>
  <c r="H11" i="11"/>
  <c r="G23" i="11" s="1"/>
  <c r="H8" i="11"/>
  <c r="H9" i="11"/>
  <c r="H10" i="11"/>
  <c r="C42" i="11"/>
  <c r="D42" i="11"/>
  <c r="E42" i="11"/>
  <c r="E43" i="11" s="1"/>
  <c r="F42" i="11"/>
  <c r="G42" i="11"/>
  <c r="B42" i="11"/>
  <c r="H42" i="11" s="1"/>
  <c r="G38" i="11"/>
  <c r="G43" i="11" s="1"/>
  <c r="G39" i="11"/>
  <c r="G40" i="11"/>
  <c r="G41" i="11"/>
  <c r="G37" i="11"/>
  <c r="W8" i="11"/>
  <c r="X8" i="11"/>
  <c r="W9" i="11"/>
  <c r="X9" i="11"/>
  <c r="W10" i="11"/>
  <c r="X10" i="11"/>
  <c r="W11" i="11"/>
  <c r="X11" i="11"/>
  <c r="W12" i="11"/>
  <c r="X12" i="11"/>
  <c r="X7" i="11"/>
  <c r="X13" i="11" s="1"/>
  <c r="T12" i="11"/>
  <c r="U12" i="11"/>
  <c r="V12" i="11"/>
  <c r="S12" i="11"/>
  <c r="Y12" i="11" s="1"/>
  <c r="F41" i="11"/>
  <c r="E41" i="11"/>
  <c r="D41" i="11"/>
  <c r="C41" i="11"/>
  <c r="B41" i="11"/>
  <c r="H41" i="11" s="1"/>
  <c r="F40" i="11"/>
  <c r="E40" i="11"/>
  <c r="H40" i="11" s="1"/>
  <c r="D40" i="11"/>
  <c r="C40" i="11"/>
  <c r="B40" i="11"/>
  <c r="F39" i="11"/>
  <c r="E39" i="11"/>
  <c r="D39" i="11"/>
  <c r="D43" i="11" s="1"/>
  <c r="C39" i="11"/>
  <c r="B39" i="11"/>
  <c r="H39" i="11" s="1"/>
  <c r="G51" i="11" s="1"/>
  <c r="F38" i="11"/>
  <c r="E38" i="11"/>
  <c r="D38" i="11"/>
  <c r="C38" i="11"/>
  <c r="H38" i="11" s="1"/>
  <c r="B38" i="11"/>
  <c r="F37" i="11"/>
  <c r="F43" i="11" s="1"/>
  <c r="E37" i="11"/>
  <c r="D37" i="11"/>
  <c r="C37" i="11"/>
  <c r="C43" i="11" s="1"/>
  <c r="B37" i="11"/>
  <c r="B43" i="11" s="1"/>
  <c r="V11" i="11"/>
  <c r="U11" i="11"/>
  <c r="T11" i="11"/>
  <c r="S11" i="11"/>
  <c r="Y11" i="11" s="1"/>
  <c r="V10" i="11"/>
  <c r="U10" i="11"/>
  <c r="T10" i="11"/>
  <c r="S10" i="11"/>
  <c r="Y10" i="11" s="1"/>
  <c r="V9" i="11"/>
  <c r="U9" i="11"/>
  <c r="T9" i="11"/>
  <c r="S9" i="11"/>
  <c r="Y9" i="11" s="1"/>
  <c r="V8" i="11"/>
  <c r="U8" i="11"/>
  <c r="U13" i="11" s="1"/>
  <c r="U24" i="11" s="1"/>
  <c r="T8" i="11"/>
  <c r="S8" i="11"/>
  <c r="S13" i="11" s="1"/>
  <c r="S24" i="11" s="1"/>
  <c r="W7" i="11"/>
  <c r="V7" i="11"/>
  <c r="U7" i="11"/>
  <c r="T7" i="11"/>
  <c r="T13" i="11" s="1"/>
  <c r="T24" i="11" s="1"/>
  <c r="S7" i="11"/>
  <c r="AE18" i="11" s="1"/>
  <c r="L47" i="10"/>
  <c r="L46" i="10"/>
  <c r="AB18" i="10"/>
  <c r="AB17" i="10"/>
  <c r="AB18" i="9"/>
  <c r="AB17" i="9"/>
  <c r="Y17" i="9" s="1"/>
  <c r="L47" i="9"/>
  <c r="L46" i="9"/>
  <c r="B47" i="9"/>
  <c r="F40" i="10"/>
  <c r="E40" i="10"/>
  <c r="D40" i="10"/>
  <c r="C40" i="10"/>
  <c r="B40" i="10"/>
  <c r="F39" i="10"/>
  <c r="E39" i="10"/>
  <c r="G39" i="10" s="1"/>
  <c r="D39" i="10"/>
  <c r="C39" i="10"/>
  <c r="B39" i="10"/>
  <c r="F38" i="10"/>
  <c r="E38" i="10"/>
  <c r="D38" i="10"/>
  <c r="C38" i="10"/>
  <c r="B38" i="10"/>
  <c r="F37" i="10"/>
  <c r="E37" i="10"/>
  <c r="D37" i="10"/>
  <c r="C37" i="10"/>
  <c r="B37" i="10"/>
  <c r="F36" i="10"/>
  <c r="F41" i="10" s="1"/>
  <c r="E36" i="10"/>
  <c r="E41" i="10" s="1"/>
  <c r="D36" i="10"/>
  <c r="C36" i="10"/>
  <c r="C41" i="10" s="1"/>
  <c r="B36" i="10"/>
  <c r="B41" i="10" s="1"/>
  <c r="C19" i="10"/>
  <c r="M17" i="10"/>
  <c r="S12" i="10"/>
  <c r="R12" i="10"/>
  <c r="G12" i="10"/>
  <c r="F12" i="10"/>
  <c r="E12" i="10"/>
  <c r="D12" i="10"/>
  <c r="C12" i="10"/>
  <c r="B12" i="10"/>
  <c r="B20" i="10" s="1"/>
  <c r="U11" i="10"/>
  <c r="T11" i="10"/>
  <c r="S11" i="10"/>
  <c r="R11" i="10"/>
  <c r="Q11" i="10"/>
  <c r="V11" i="10" s="1"/>
  <c r="G11" i="10"/>
  <c r="U10" i="10"/>
  <c r="T10" i="10"/>
  <c r="S10" i="10"/>
  <c r="R10" i="10"/>
  <c r="Q10" i="10"/>
  <c r="V10" i="10" s="1"/>
  <c r="G10" i="10"/>
  <c r="B21" i="10" s="1"/>
  <c r="U9" i="10"/>
  <c r="T9" i="10"/>
  <c r="V9" i="10" s="1"/>
  <c r="S9" i="10"/>
  <c r="R9" i="10"/>
  <c r="Q9" i="10"/>
  <c r="G9" i="10"/>
  <c r="U8" i="10"/>
  <c r="T8" i="10"/>
  <c r="S8" i="10"/>
  <c r="R8" i="10"/>
  <c r="Q8" i="10"/>
  <c r="V8" i="10" s="1"/>
  <c r="G8" i="10"/>
  <c r="D19" i="10" s="1"/>
  <c r="V7" i="10"/>
  <c r="U7" i="10"/>
  <c r="U12" i="10" s="1"/>
  <c r="T7" i="10"/>
  <c r="S7" i="10"/>
  <c r="R7" i="10"/>
  <c r="Q7" i="10"/>
  <c r="Q12" i="10" s="1"/>
  <c r="G7" i="10"/>
  <c r="S42" i="3"/>
  <c r="H42" i="3"/>
  <c r="S15" i="3"/>
  <c r="H15" i="3"/>
  <c r="H42" i="2"/>
  <c r="T15" i="2"/>
  <c r="H15" i="2"/>
  <c r="V16" i="8"/>
  <c r="I16" i="8"/>
  <c r="V16" i="5"/>
  <c r="I16" i="5"/>
  <c r="J17" i="9"/>
  <c r="M18" i="9"/>
  <c r="M17" i="9"/>
  <c r="C23" i="9"/>
  <c r="D23" i="9"/>
  <c r="E23" i="9"/>
  <c r="F23" i="9"/>
  <c r="B23" i="9"/>
  <c r="G19" i="9"/>
  <c r="G20" i="9"/>
  <c r="G21" i="9"/>
  <c r="G22" i="9"/>
  <c r="G18" i="9"/>
  <c r="B48" i="9"/>
  <c r="C48" i="9"/>
  <c r="D48" i="9"/>
  <c r="E48" i="9"/>
  <c r="F48" i="9"/>
  <c r="B49" i="9"/>
  <c r="C49" i="9"/>
  <c r="D49" i="9"/>
  <c r="E49" i="9"/>
  <c r="F49" i="9"/>
  <c r="B50" i="9"/>
  <c r="C50" i="9"/>
  <c r="D50" i="9"/>
  <c r="E50" i="9"/>
  <c r="F50" i="9"/>
  <c r="B51" i="9"/>
  <c r="C51" i="9"/>
  <c r="D51" i="9"/>
  <c r="E51" i="9"/>
  <c r="F51" i="9"/>
  <c r="C47" i="9"/>
  <c r="G47" i="9" s="1"/>
  <c r="D47" i="9"/>
  <c r="E47" i="9"/>
  <c r="F47" i="9"/>
  <c r="G37" i="9"/>
  <c r="G38" i="9"/>
  <c r="G39" i="9"/>
  <c r="G40" i="9"/>
  <c r="G36" i="9"/>
  <c r="G41" i="9"/>
  <c r="V23" i="9"/>
  <c r="Q19" i="9"/>
  <c r="R19" i="9"/>
  <c r="S19" i="9"/>
  <c r="T19" i="9"/>
  <c r="U19" i="9"/>
  <c r="Q20" i="9"/>
  <c r="R20" i="9"/>
  <c r="S20" i="9"/>
  <c r="T20" i="9"/>
  <c r="U20" i="9"/>
  <c r="Q21" i="9"/>
  <c r="R21" i="9"/>
  <c r="S21" i="9"/>
  <c r="T21" i="9"/>
  <c r="U21" i="9"/>
  <c r="Q22" i="9"/>
  <c r="R22" i="9"/>
  <c r="S22" i="9"/>
  <c r="T22" i="9"/>
  <c r="U22" i="9"/>
  <c r="R18" i="9"/>
  <c r="S18" i="9"/>
  <c r="T18" i="9"/>
  <c r="U18" i="9"/>
  <c r="G23" i="9"/>
  <c r="B19" i="9"/>
  <c r="C19" i="9"/>
  <c r="D19" i="9"/>
  <c r="E19" i="9"/>
  <c r="F19" i="9"/>
  <c r="B20" i="9"/>
  <c r="C20" i="9"/>
  <c r="D20" i="9"/>
  <c r="E20" i="9"/>
  <c r="F20" i="9"/>
  <c r="B21" i="9"/>
  <c r="C21" i="9"/>
  <c r="D21" i="9"/>
  <c r="E21" i="9"/>
  <c r="F21" i="9"/>
  <c r="B22" i="9"/>
  <c r="C22" i="9"/>
  <c r="D22" i="9"/>
  <c r="E22" i="9"/>
  <c r="F22" i="9"/>
  <c r="C18" i="9"/>
  <c r="D18" i="9"/>
  <c r="E18" i="9"/>
  <c r="F18" i="9"/>
  <c r="U12" i="9"/>
  <c r="F41" i="9"/>
  <c r="V12" i="9"/>
  <c r="G12" i="9"/>
  <c r="G11" i="9"/>
  <c r="F12" i="9"/>
  <c r="C40" i="9"/>
  <c r="D40" i="9"/>
  <c r="E40" i="9"/>
  <c r="F40" i="9"/>
  <c r="B40" i="9"/>
  <c r="F37" i="9"/>
  <c r="F38" i="9"/>
  <c r="F39" i="9"/>
  <c r="F36" i="9"/>
  <c r="G10" i="9"/>
  <c r="E12" i="9"/>
  <c r="T11" i="9"/>
  <c r="V11" i="9"/>
  <c r="G9" i="9"/>
  <c r="D12" i="9"/>
  <c r="S11" i="9"/>
  <c r="S12" i="9" s="1"/>
  <c r="C12" i="9"/>
  <c r="R11" i="9"/>
  <c r="R12" i="9" s="1"/>
  <c r="B12" i="9"/>
  <c r="Q11" i="9"/>
  <c r="G8" i="9"/>
  <c r="G7" i="9"/>
  <c r="U8" i="9"/>
  <c r="U9" i="9"/>
  <c r="U10" i="9"/>
  <c r="U11" i="9"/>
  <c r="U7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T10" i="9"/>
  <c r="S10" i="9"/>
  <c r="R10" i="9"/>
  <c r="Q10" i="9"/>
  <c r="T9" i="9"/>
  <c r="S9" i="9"/>
  <c r="R9" i="9"/>
  <c r="Q9" i="9"/>
  <c r="T8" i="9"/>
  <c r="S8" i="9"/>
  <c r="R8" i="9"/>
  <c r="Q8" i="9"/>
  <c r="T7" i="9"/>
  <c r="S7" i="9"/>
  <c r="R7" i="9"/>
  <c r="Q7" i="9"/>
  <c r="E37" i="8"/>
  <c r="F37" i="8" s="1"/>
  <c r="D37" i="8"/>
  <c r="C37" i="8"/>
  <c r="B37" i="8"/>
  <c r="E36" i="8"/>
  <c r="E38" i="8" s="1"/>
  <c r="D36" i="8"/>
  <c r="C36" i="8"/>
  <c r="B36" i="8"/>
  <c r="E35" i="8"/>
  <c r="D35" i="8"/>
  <c r="C35" i="8"/>
  <c r="F35" i="8" s="1"/>
  <c r="B35" i="8"/>
  <c r="E34" i="8"/>
  <c r="D34" i="8"/>
  <c r="C34" i="8"/>
  <c r="B34" i="8"/>
  <c r="F34" i="8" s="1"/>
  <c r="L16" i="8"/>
  <c r="E11" i="8"/>
  <c r="D11" i="8"/>
  <c r="C11" i="8"/>
  <c r="B11" i="8"/>
  <c r="R10" i="8"/>
  <c r="Q10" i="8"/>
  <c r="S10" i="8" s="1"/>
  <c r="P10" i="8"/>
  <c r="O10" i="8"/>
  <c r="F10" i="8"/>
  <c r="R9" i="8"/>
  <c r="Q9" i="8"/>
  <c r="P9" i="8"/>
  <c r="S9" i="8" s="1"/>
  <c r="O9" i="8"/>
  <c r="F9" i="8"/>
  <c r="R8" i="8"/>
  <c r="Q8" i="8"/>
  <c r="Q11" i="8" s="1"/>
  <c r="P8" i="8"/>
  <c r="O8" i="8"/>
  <c r="O11" i="8" s="1"/>
  <c r="F8" i="8"/>
  <c r="R7" i="8"/>
  <c r="Q7" i="8"/>
  <c r="P7" i="8"/>
  <c r="O7" i="8"/>
  <c r="F7" i="8"/>
  <c r="B45" i="5"/>
  <c r="C45" i="5"/>
  <c r="D45" i="5"/>
  <c r="E45" i="5"/>
  <c r="B46" i="5"/>
  <c r="C46" i="5"/>
  <c r="D46" i="5"/>
  <c r="E46" i="5"/>
  <c r="B47" i="5"/>
  <c r="C47" i="5"/>
  <c r="D47" i="5"/>
  <c r="E47" i="5"/>
  <c r="C44" i="5"/>
  <c r="D44" i="5"/>
  <c r="E44" i="5"/>
  <c r="B35" i="5"/>
  <c r="C35" i="5"/>
  <c r="D35" i="5"/>
  <c r="E35" i="5"/>
  <c r="B36" i="5"/>
  <c r="C36" i="5"/>
  <c r="D36" i="5"/>
  <c r="E36" i="5"/>
  <c r="B37" i="5"/>
  <c r="C37" i="5"/>
  <c r="F37" i="5" s="1"/>
  <c r="D37" i="5"/>
  <c r="E37" i="5"/>
  <c r="K43" i="5" s="1"/>
  <c r="C34" i="5"/>
  <c r="D34" i="5"/>
  <c r="E34" i="5"/>
  <c r="B34" i="5"/>
  <c r="O18" i="5"/>
  <c r="P18" i="5"/>
  <c r="Q18" i="5"/>
  <c r="R18" i="5"/>
  <c r="O19" i="5"/>
  <c r="P19" i="5"/>
  <c r="Q19" i="5"/>
  <c r="R19" i="5"/>
  <c r="O20" i="5"/>
  <c r="P20" i="5"/>
  <c r="Q20" i="5"/>
  <c r="R20" i="5"/>
  <c r="P17" i="5"/>
  <c r="Q17" i="5"/>
  <c r="R17" i="5"/>
  <c r="O8" i="5"/>
  <c r="P8" i="5"/>
  <c r="Q8" i="5"/>
  <c r="R8" i="5"/>
  <c r="O9" i="5"/>
  <c r="P9" i="5"/>
  <c r="Q9" i="5"/>
  <c r="R9" i="5"/>
  <c r="O10" i="5"/>
  <c r="S10" i="5" s="1"/>
  <c r="P10" i="5"/>
  <c r="Q10" i="5"/>
  <c r="R10" i="5"/>
  <c r="P7" i="5"/>
  <c r="S7" i="5" s="1"/>
  <c r="Q7" i="5"/>
  <c r="R7" i="5"/>
  <c r="O7" i="5"/>
  <c r="B18" i="5"/>
  <c r="C18" i="5"/>
  <c r="D18" i="5"/>
  <c r="E18" i="5"/>
  <c r="B19" i="5"/>
  <c r="C19" i="5"/>
  <c r="D19" i="5"/>
  <c r="E19" i="5"/>
  <c r="B20" i="5"/>
  <c r="C20" i="5"/>
  <c r="D20" i="5"/>
  <c r="E20" i="5"/>
  <c r="E17" i="5"/>
  <c r="D17" i="5"/>
  <c r="C17" i="5"/>
  <c r="L16" i="5"/>
  <c r="E48" i="5"/>
  <c r="F47" i="5"/>
  <c r="F35" i="5"/>
  <c r="F36" i="5"/>
  <c r="S20" i="5"/>
  <c r="O11" i="5"/>
  <c r="S8" i="5"/>
  <c r="S9" i="5"/>
  <c r="F20" i="5"/>
  <c r="C11" i="5"/>
  <c r="D11" i="5"/>
  <c r="E11" i="5"/>
  <c r="B11" i="5"/>
  <c r="F8" i="5"/>
  <c r="F9" i="5"/>
  <c r="F10" i="5"/>
  <c r="F7" i="5"/>
  <c r="X24" i="11" l="1"/>
  <c r="Y24" i="11" s="1"/>
  <c r="X20" i="11"/>
  <c r="X21" i="11"/>
  <c r="X22" i="11"/>
  <c r="X23" i="11"/>
  <c r="X19" i="11"/>
  <c r="D54" i="11"/>
  <c r="B54" i="11"/>
  <c r="C54" i="11"/>
  <c r="D24" i="11"/>
  <c r="H24" i="11" s="1"/>
  <c r="H37" i="11"/>
  <c r="B49" i="11" s="1"/>
  <c r="G49" i="11"/>
  <c r="Y7" i="11"/>
  <c r="G19" i="11"/>
  <c r="G53" i="11"/>
  <c r="G52" i="11"/>
  <c r="G55" i="11" s="1"/>
  <c r="G22" i="11"/>
  <c r="G21" i="11"/>
  <c r="G50" i="11"/>
  <c r="M48" i="11"/>
  <c r="G20" i="11"/>
  <c r="Y8" i="11"/>
  <c r="F54" i="11"/>
  <c r="V13" i="12"/>
  <c r="F43" i="12"/>
  <c r="U13" i="12"/>
  <c r="U19" i="12" s="1"/>
  <c r="Y7" i="12"/>
  <c r="Y8" i="12"/>
  <c r="H38" i="12"/>
  <c r="B50" i="12" s="1"/>
  <c r="H40" i="12"/>
  <c r="G52" i="12" s="1"/>
  <c r="H39" i="12"/>
  <c r="E43" i="12"/>
  <c r="C43" i="12"/>
  <c r="I43" i="13"/>
  <c r="F56" i="13" s="1"/>
  <c r="I40" i="13"/>
  <c r="D46" i="13"/>
  <c r="V14" i="13"/>
  <c r="AB12" i="13"/>
  <c r="Y14" i="13"/>
  <c r="C46" i="13"/>
  <c r="AB7" i="13"/>
  <c r="W14" i="13"/>
  <c r="W26" i="13" s="1"/>
  <c r="AB11" i="13"/>
  <c r="I39" i="13"/>
  <c r="F52" i="13" s="1"/>
  <c r="I41" i="13"/>
  <c r="C54" i="13" s="1"/>
  <c r="E46" i="14"/>
  <c r="I43" i="14"/>
  <c r="F56" i="14" s="1"/>
  <c r="V14" i="14"/>
  <c r="V26" i="14" s="1"/>
  <c r="AB10" i="14"/>
  <c r="X14" i="14"/>
  <c r="B46" i="14"/>
  <c r="I42" i="14"/>
  <c r="AA14" i="14"/>
  <c r="AA21" i="14" s="1"/>
  <c r="AB12" i="14"/>
  <c r="D46" i="14"/>
  <c r="I41" i="14"/>
  <c r="C54" i="14" s="1"/>
  <c r="I39" i="14"/>
  <c r="C52" i="14" s="1"/>
  <c r="B25" i="14"/>
  <c r="I40" i="14"/>
  <c r="E53" i="14" s="1"/>
  <c r="C46" i="14"/>
  <c r="AB8" i="14"/>
  <c r="W14" i="14"/>
  <c r="W22" i="14" s="1"/>
  <c r="AB9" i="14"/>
  <c r="AB11" i="14"/>
  <c r="Y14" i="14"/>
  <c r="Y24" i="14" s="1"/>
  <c r="G46" i="14"/>
  <c r="I44" i="14"/>
  <c r="D57" i="14" s="1"/>
  <c r="D58" i="14"/>
  <c r="B22" i="14"/>
  <c r="D25" i="14"/>
  <c r="U20" i="14"/>
  <c r="D55" i="14"/>
  <c r="AB14" i="14"/>
  <c r="B20" i="14"/>
  <c r="D21" i="14"/>
  <c r="D24" i="14"/>
  <c r="H21" i="14"/>
  <c r="C21" i="14"/>
  <c r="C24" i="14"/>
  <c r="U23" i="14"/>
  <c r="D26" i="14"/>
  <c r="F24" i="14"/>
  <c r="E58" i="14"/>
  <c r="D20" i="14"/>
  <c r="H26" i="14"/>
  <c r="AH19" i="14"/>
  <c r="AB13" i="14"/>
  <c r="G26" i="14"/>
  <c r="H23" i="14"/>
  <c r="X22" i="14"/>
  <c r="X24" i="14"/>
  <c r="X21" i="14"/>
  <c r="X20" i="14"/>
  <c r="X26" i="14"/>
  <c r="X23" i="14"/>
  <c r="X25" i="14"/>
  <c r="AA24" i="14"/>
  <c r="AA26" i="14"/>
  <c r="AA23" i="14"/>
  <c r="AA20" i="14"/>
  <c r="AA22" i="14"/>
  <c r="V22" i="14"/>
  <c r="V24" i="14"/>
  <c r="D56" i="14"/>
  <c r="B56" i="14"/>
  <c r="G21" i="14"/>
  <c r="C22" i="14"/>
  <c r="E24" i="14"/>
  <c r="F55" i="14"/>
  <c r="B57" i="14"/>
  <c r="F58" i="14"/>
  <c r="D22" i="14"/>
  <c r="U26" i="14"/>
  <c r="G58" i="14"/>
  <c r="H58" i="14"/>
  <c r="U21" i="14"/>
  <c r="F22" i="14"/>
  <c r="H24" i="14"/>
  <c r="C25" i="14"/>
  <c r="E20" i="14"/>
  <c r="G22" i="14"/>
  <c r="E25" i="14"/>
  <c r="I46" i="14"/>
  <c r="G55" i="14"/>
  <c r="C20" i="14"/>
  <c r="E22" i="14"/>
  <c r="G24" i="14"/>
  <c r="H55" i="14"/>
  <c r="F20" i="14"/>
  <c r="H22" i="14"/>
  <c r="B23" i="14"/>
  <c r="U24" i="14"/>
  <c r="F25" i="14"/>
  <c r="B26" i="14"/>
  <c r="N51" i="14"/>
  <c r="H57" i="14"/>
  <c r="Z14" i="14"/>
  <c r="G20" i="14"/>
  <c r="C23" i="14"/>
  <c r="G25" i="14"/>
  <c r="C26" i="14"/>
  <c r="H20" i="14"/>
  <c r="B21" i="14"/>
  <c r="D23" i="14"/>
  <c r="H25" i="14"/>
  <c r="E56" i="14"/>
  <c r="U22" i="14"/>
  <c r="E23" i="14"/>
  <c r="E26" i="14"/>
  <c r="B55" i="14"/>
  <c r="B58" i="14"/>
  <c r="F23" i="14"/>
  <c r="B24" i="14"/>
  <c r="U25" i="14"/>
  <c r="F26" i="14"/>
  <c r="C55" i="14"/>
  <c r="C58" i="14"/>
  <c r="AB7" i="14"/>
  <c r="E21" i="14"/>
  <c r="G23" i="14"/>
  <c r="H56" i="14"/>
  <c r="F21" i="14"/>
  <c r="E55" i="14"/>
  <c r="E46" i="13"/>
  <c r="AB10" i="13"/>
  <c r="G46" i="13"/>
  <c r="I44" i="13"/>
  <c r="C57" i="13" s="1"/>
  <c r="Z14" i="13"/>
  <c r="Z26" i="13" s="1"/>
  <c r="X14" i="13"/>
  <c r="X24" i="13" s="1"/>
  <c r="I42" i="13"/>
  <c r="H55" i="13" s="1"/>
  <c r="AB8" i="13"/>
  <c r="B26" i="13"/>
  <c r="C26" i="13"/>
  <c r="H56" i="13"/>
  <c r="G26" i="13"/>
  <c r="Y26" i="13"/>
  <c r="H26" i="13"/>
  <c r="F26" i="13"/>
  <c r="AA14" i="13"/>
  <c r="D26" i="13"/>
  <c r="H25" i="13"/>
  <c r="H20" i="13"/>
  <c r="H53" i="13"/>
  <c r="H23" i="13"/>
  <c r="H54" i="13"/>
  <c r="H24" i="13"/>
  <c r="H22" i="13"/>
  <c r="V26" i="13"/>
  <c r="H21" i="13"/>
  <c r="E26" i="13"/>
  <c r="I46" i="13"/>
  <c r="N51" i="13"/>
  <c r="H46" i="13"/>
  <c r="I45" i="13"/>
  <c r="G58" i="13" s="1"/>
  <c r="AB14" i="13"/>
  <c r="AB13" i="13"/>
  <c r="U14" i="13"/>
  <c r="U25" i="13" s="1"/>
  <c r="AH19" i="13"/>
  <c r="C20" i="13"/>
  <c r="D21" i="13"/>
  <c r="F22" i="13"/>
  <c r="B22" i="13"/>
  <c r="C24" i="13"/>
  <c r="G53" i="13"/>
  <c r="E23" i="13"/>
  <c r="Z23" i="13"/>
  <c r="V25" i="13"/>
  <c r="F21" i="13"/>
  <c r="Y21" i="13"/>
  <c r="B23" i="13"/>
  <c r="F25" i="13"/>
  <c r="V23" i="13"/>
  <c r="G22" i="13"/>
  <c r="C23" i="13"/>
  <c r="B20" i="13"/>
  <c r="D23" i="13"/>
  <c r="B24" i="13"/>
  <c r="D20" i="13"/>
  <c r="F23" i="13"/>
  <c r="D24" i="13"/>
  <c r="B25" i="13"/>
  <c r="E20" i="13"/>
  <c r="G23" i="13"/>
  <c r="E24" i="13"/>
  <c r="C25" i="13"/>
  <c r="F20" i="13"/>
  <c r="B21" i="13"/>
  <c r="F24" i="13"/>
  <c r="D25" i="13"/>
  <c r="G20" i="13"/>
  <c r="C21" i="13"/>
  <c r="G24" i="13"/>
  <c r="E25" i="13"/>
  <c r="B53" i="13"/>
  <c r="E21" i="13"/>
  <c r="C22" i="13"/>
  <c r="G25" i="13"/>
  <c r="D22" i="13"/>
  <c r="G21" i="13"/>
  <c r="E22" i="13"/>
  <c r="Y9" i="12"/>
  <c r="F23" i="12"/>
  <c r="D43" i="12"/>
  <c r="F20" i="12"/>
  <c r="C54" i="12"/>
  <c r="F52" i="12"/>
  <c r="F21" i="12"/>
  <c r="B22" i="12"/>
  <c r="AE18" i="12"/>
  <c r="E52" i="12"/>
  <c r="D52" i="12"/>
  <c r="Y10" i="12"/>
  <c r="Y11" i="12"/>
  <c r="M48" i="12"/>
  <c r="D23" i="12"/>
  <c r="H43" i="12"/>
  <c r="D54" i="12"/>
  <c r="X13" i="12"/>
  <c r="X22" i="12" s="1"/>
  <c r="Y12" i="12"/>
  <c r="Y13" i="12"/>
  <c r="C22" i="12"/>
  <c r="V23" i="12"/>
  <c r="V22" i="12"/>
  <c r="V24" i="12"/>
  <c r="V20" i="12"/>
  <c r="V21" i="12"/>
  <c r="V19" i="12"/>
  <c r="B51" i="12"/>
  <c r="C51" i="12"/>
  <c r="F51" i="12"/>
  <c r="E51" i="12"/>
  <c r="D51" i="12"/>
  <c r="G50" i="12"/>
  <c r="X19" i="12"/>
  <c r="X21" i="12"/>
  <c r="X24" i="12"/>
  <c r="X20" i="12"/>
  <c r="X23" i="12"/>
  <c r="T24" i="12"/>
  <c r="T19" i="12"/>
  <c r="T23" i="12"/>
  <c r="T22" i="12"/>
  <c r="T21" i="12"/>
  <c r="T20" i="12"/>
  <c r="G21" i="12"/>
  <c r="D22" i="12"/>
  <c r="E22" i="12"/>
  <c r="F54" i="12"/>
  <c r="D19" i="12"/>
  <c r="G54" i="12"/>
  <c r="E19" i="12"/>
  <c r="G22" i="12"/>
  <c r="E23" i="12"/>
  <c r="C24" i="12"/>
  <c r="B23" i="12"/>
  <c r="H37" i="12"/>
  <c r="B49" i="12" s="1"/>
  <c r="S13" i="12"/>
  <c r="C23" i="12"/>
  <c r="B24" i="12"/>
  <c r="F19" i="12"/>
  <c r="D24" i="12"/>
  <c r="H41" i="12"/>
  <c r="F53" i="12" s="1"/>
  <c r="E54" i="12"/>
  <c r="C19" i="12"/>
  <c r="B20" i="12"/>
  <c r="W13" i="12"/>
  <c r="G19" i="12"/>
  <c r="C20" i="12"/>
  <c r="G23" i="12"/>
  <c r="E24" i="12"/>
  <c r="G51" i="12"/>
  <c r="D20" i="12"/>
  <c r="B21" i="12"/>
  <c r="F24" i="12"/>
  <c r="C50" i="12"/>
  <c r="B19" i="12"/>
  <c r="E20" i="12"/>
  <c r="C21" i="12"/>
  <c r="G24" i="12"/>
  <c r="D50" i="12"/>
  <c r="B52" i="12"/>
  <c r="F22" i="12"/>
  <c r="D21" i="12"/>
  <c r="E50" i="12"/>
  <c r="C52" i="12"/>
  <c r="G20" i="12"/>
  <c r="E21" i="12"/>
  <c r="F50" i="12"/>
  <c r="B54" i="12"/>
  <c r="H43" i="11"/>
  <c r="Y13" i="11"/>
  <c r="D23" i="11"/>
  <c r="C22" i="11"/>
  <c r="F51" i="11"/>
  <c r="S22" i="11"/>
  <c r="D22" i="11"/>
  <c r="D21" i="11"/>
  <c r="F21" i="11"/>
  <c r="C21" i="11"/>
  <c r="F50" i="11"/>
  <c r="V21" i="11"/>
  <c r="C23" i="11"/>
  <c r="W20" i="11"/>
  <c r="E52" i="11"/>
  <c r="B23" i="11"/>
  <c r="C19" i="11"/>
  <c r="C53" i="11"/>
  <c r="U19" i="11"/>
  <c r="B19" i="11"/>
  <c r="H25" i="11" s="1"/>
  <c r="E22" i="11"/>
  <c r="E23" i="11"/>
  <c r="F22" i="11"/>
  <c r="F23" i="11"/>
  <c r="E20" i="11"/>
  <c r="E21" i="11"/>
  <c r="B52" i="11"/>
  <c r="D19" i="11"/>
  <c r="B20" i="11"/>
  <c r="B21" i="11"/>
  <c r="C52" i="11"/>
  <c r="E19" i="11"/>
  <c r="C20" i="11"/>
  <c r="F19" i="11"/>
  <c r="D20" i="11"/>
  <c r="B22" i="11"/>
  <c r="H22" i="11" s="1"/>
  <c r="F52" i="11"/>
  <c r="F20" i="11"/>
  <c r="E22" i="10"/>
  <c r="F22" i="10"/>
  <c r="G40" i="10"/>
  <c r="E18" i="10"/>
  <c r="T12" i="10"/>
  <c r="D41" i="10"/>
  <c r="G41" i="10"/>
  <c r="S22" i="10"/>
  <c r="F18" i="10"/>
  <c r="G38" i="10"/>
  <c r="C49" i="10" s="1"/>
  <c r="C22" i="10"/>
  <c r="C21" i="10"/>
  <c r="G37" i="10"/>
  <c r="E48" i="10" s="1"/>
  <c r="C50" i="10"/>
  <c r="D20" i="10"/>
  <c r="C20" i="10"/>
  <c r="D18" i="10"/>
  <c r="E20" i="10"/>
  <c r="F21" i="10"/>
  <c r="F20" i="10"/>
  <c r="R18" i="10"/>
  <c r="B22" i="10"/>
  <c r="E50" i="10"/>
  <c r="U22" i="10"/>
  <c r="U21" i="10"/>
  <c r="U20" i="10"/>
  <c r="U19" i="10"/>
  <c r="U18" i="10"/>
  <c r="Q22" i="10"/>
  <c r="Q21" i="10"/>
  <c r="Q19" i="10"/>
  <c r="Q20" i="10"/>
  <c r="Q18" i="10"/>
  <c r="T22" i="10"/>
  <c r="T21" i="10"/>
  <c r="T19" i="10"/>
  <c r="T20" i="10"/>
  <c r="T18" i="10"/>
  <c r="C51" i="10"/>
  <c r="F51" i="10"/>
  <c r="E51" i="10"/>
  <c r="F49" i="10"/>
  <c r="E49" i="10"/>
  <c r="E19" i="10"/>
  <c r="F50" i="10"/>
  <c r="F19" i="10"/>
  <c r="D21" i="10"/>
  <c r="D22" i="10"/>
  <c r="V12" i="10"/>
  <c r="E21" i="10"/>
  <c r="B49" i="10"/>
  <c r="B51" i="10"/>
  <c r="S18" i="10"/>
  <c r="R19" i="10"/>
  <c r="G36" i="10"/>
  <c r="B47" i="10" s="1"/>
  <c r="D49" i="10"/>
  <c r="D51" i="10"/>
  <c r="D50" i="10"/>
  <c r="S19" i="10"/>
  <c r="R20" i="10"/>
  <c r="S20" i="10"/>
  <c r="B18" i="10"/>
  <c r="S21" i="10"/>
  <c r="R21" i="10"/>
  <c r="R22" i="10"/>
  <c r="C18" i="10"/>
  <c r="B50" i="10"/>
  <c r="B19" i="10"/>
  <c r="G52" i="9"/>
  <c r="D52" i="9"/>
  <c r="G49" i="9"/>
  <c r="E52" i="9"/>
  <c r="G48" i="9"/>
  <c r="G51" i="9"/>
  <c r="T12" i="9"/>
  <c r="Q12" i="9"/>
  <c r="E41" i="9"/>
  <c r="C41" i="9"/>
  <c r="D41" i="9"/>
  <c r="V8" i="9"/>
  <c r="V10" i="9"/>
  <c r="V9" i="9"/>
  <c r="B41" i="9"/>
  <c r="V7" i="9"/>
  <c r="D38" i="8"/>
  <c r="B38" i="8"/>
  <c r="R11" i="8"/>
  <c r="Y16" i="8"/>
  <c r="C38" i="8"/>
  <c r="F38" i="8" s="1"/>
  <c r="P11" i="8"/>
  <c r="S8" i="8"/>
  <c r="K43" i="8"/>
  <c r="F36" i="8"/>
  <c r="F11" i="8"/>
  <c r="S7" i="8"/>
  <c r="B38" i="5"/>
  <c r="E38" i="5"/>
  <c r="D38" i="5"/>
  <c r="C38" i="5"/>
  <c r="F34" i="5"/>
  <c r="R21" i="5"/>
  <c r="Q11" i="5"/>
  <c r="R11" i="5"/>
  <c r="P11" i="5"/>
  <c r="Y16" i="5"/>
  <c r="E21" i="5"/>
  <c r="F11" i="5"/>
  <c r="U43" i="3"/>
  <c r="U42" i="3"/>
  <c r="M34" i="3"/>
  <c r="N34" i="3"/>
  <c r="O34" i="3"/>
  <c r="M35" i="3"/>
  <c r="N35" i="3"/>
  <c r="O35" i="3"/>
  <c r="M36" i="3"/>
  <c r="N36" i="3"/>
  <c r="O36" i="3"/>
  <c r="P34" i="3"/>
  <c r="O37" i="3"/>
  <c r="P36" i="3"/>
  <c r="M8" i="3"/>
  <c r="P8" i="3" s="1"/>
  <c r="N8" i="3"/>
  <c r="O8" i="3"/>
  <c r="M9" i="3"/>
  <c r="P9" i="3" s="1"/>
  <c r="N9" i="3"/>
  <c r="O9" i="3"/>
  <c r="N7" i="3"/>
  <c r="O7" i="3"/>
  <c r="M7" i="3"/>
  <c r="P7" i="3" s="1"/>
  <c r="C34" i="3"/>
  <c r="J42" i="3" s="1"/>
  <c r="D34" i="3"/>
  <c r="D37" i="3" s="1"/>
  <c r="C35" i="3"/>
  <c r="E35" i="3" s="1"/>
  <c r="D35" i="3"/>
  <c r="C36" i="3"/>
  <c r="D36" i="3"/>
  <c r="B35" i="3"/>
  <c r="B37" i="3" s="1"/>
  <c r="B36" i="3"/>
  <c r="B34" i="3"/>
  <c r="E19" i="2"/>
  <c r="H8" i="4"/>
  <c r="H7" i="4"/>
  <c r="G8" i="4"/>
  <c r="G7" i="4"/>
  <c r="W18" i="2"/>
  <c r="K18" i="2"/>
  <c r="K15" i="2"/>
  <c r="J15" i="3"/>
  <c r="V42" i="2"/>
  <c r="J42" i="2"/>
  <c r="W15" i="2"/>
  <c r="E36" i="3"/>
  <c r="O10" i="3"/>
  <c r="N10" i="3"/>
  <c r="D10" i="3"/>
  <c r="C10" i="3"/>
  <c r="B10" i="3"/>
  <c r="E9" i="3"/>
  <c r="E8" i="3"/>
  <c r="E7" i="3"/>
  <c r="P37" i="2"/>
  <c r="O37" i="2"/>
  <c r="N37" i="2"/>
  <c r="Q37" i="2" s="1"/>
  <c r="Q36" i="2"/>
  <c r="Q35" i="2"/>
  <c r="Q34" i="2"/>
  <c r="D37" i="2"/>
  <c r="C37" i="2"/>
  <c r="B37" i="2"/>
  <c r="E36" i="2"/>
  <c r="E35" i="2"/>
  <c r="E34" i="2"/>
  <c r="P10" i="2"/>
  <c r="O10" i="2"/>
  <c r="N10" i="2"/>
  <c r="Q9" i="2"/>
  <c r="Q8" i="2"/>
  <c r="Q7" i="2"/>
  <c r="B8" i="1"/>
  <c r="B11" i="1" s="1"/>
  <c r="C10" i="2"/>
  <c r="D10" i="2"/>
  <c r="B10" i="2"/>
  <c r="E9" i="2"/>
  <c r="E8" i="2"/>
  <c r="E7" i="2"/>
  <c r="U6" i="1"/>
  <c r="R10" i="1"/>
  <c r="T10" i="1"/>
  <c r="S10" i="1"/>
  <c r="T8" i="1"/>
  <c r="S8" i="1"/>
  <c r="U8" i="1" s="1"/>
  <c r="R8" i="1"/>
  <c r="R11" i="1" s="1"/>
  <c r="U5" i="1"/>
  <c r="U7" i="1"/>
  <c r="E10" i="1"/>
  <c r="D10" i="1"/>
  <c r="C10" i="1"/>
  <c r="E8" i="1"/>
  <c r="B10" i="1"/>
  <c r="E7" i="1"/>
  <c r="E6" i="1"/>
  <c r="E5" i="1"/>
  <c r="D8" i="1"/>
  <c r="D11" i="1" s="1"/>
  <c r="C8" i="1"/>
  <c r="C11" i="1" s="1"/>
  <c r="H54" i="11" l="1"/>
  <c r="F25" i="11"/>
  <c r="X25" i="11"/>
  <c r="E25" i="11"/>
  <c r="B25" i="11"/>
  <c r="N19" i="11"/>
  <c r="H19" i="11"/>
  <c r="H21" i="11"/>
  <c r="G25" i="11"/>
  <c r="H20" i="11"/>
  <c r="C25" i="11"/>
  <c r="D25" i="11"/>
  <c r="H23" i="11"/>
  <c r="U20" i="12"/>
  <c r="U25" i="12" s="1"/>
  <c r="U24" i="12"/>
  <c r="U21" i="12"/>
  <c r="U22" i="12"/>
  <c r="U23" i="12"/>
  <c r="H52" i="13"/>
  <c r="W24" i="13"/>
  <c r="B54" i="14"/>
  <c r="V25" i="14"/>
  <c r="H53" i="14"/>
  <c r="E54" i="14"/>
  <c r="I54" i="14" s="1"/>
  <c r="V20" i="14"/>
  <c r="AA25" i="14"/>
  <c r="H54" i="14"/>
  <c r="D54" i="14"/>
  <c r="G56" i="14"/>
  <c r="C56" i="14"/>
  <c r="I56" i="14" s="1"/>
  <c r="G54" i="14"/>
  <c r="F54" i="14"/>
  <c r="V23" i="14"/>
  <c r="V21" i="14"/>
  <c r="B52" i="14"/>
  <c r="H52" i="14"/>
  <c r="H59" i="14" s="1"/>
  <c r="E57" i="14"/>
  <c r="G57" i="14"/>
  <c r="F57" i="14"/>
  <c r="C57" i="14"/>
  <c r="W23" i="14"/>
  <c r="W21" i="14"/>
  <c r="W24" i="14"/>
  <c r="W25" i="14"/>
  <c r="G52" i="14"/>
  <c r="F52" i="14"/>
  <c r="D52" i="14"/>
  <c r="E52" i="14"/>
  <c r="E59" i="14" s="1"/>
  <c r="C53" i="14"/>
  <c r="B53" i="14"/>
  <c r="F53" i="14"/>
  <c r="D53" i="14"/>
  <c r="G53" i="14"/>
  <c r="W20" i="14"/>
  <c r="W26" i="14"/>
  <c r="I58" i="14"/>
  <c r="Y20" i="14"/>
  <c r="Y22" i="14"/>
  <c r="Y25" i="14"/>
  <c r="Y23" i="14"/>
  <c r="Y26" i="14"/>
  <c r="I22" i="14"/>
  <c r="Y21" i="14"/>
  <c r="I21" i="14"/>
  <c r="D27" i="14"/>
  <c r="X27" i="14"/>
  <c r="I25" i="14"/>
  <c r="I27" i="14"/>
  <c r="O20" i="14"/>
  <c r="H27" i="14"/>
  <c r="V27" i="14"/>
  <c r="AA27" i="14"/>
  <c r="I55" i="14"/>
  <c r="I26" i="14"/>
  <c r="G27" i="14"/>
  <c r="I23" i="14"/>
  <c r="U27" i="14"/>
  <c r="B27" i="14"/>
  <c r="C27" i="14"/>
  <c r="I20" i="14"/>
  <c r="Z24" i="14"/>
  <c r="Z21" i="14"/>
  <c r="Z26" i="14"/>
  <c r="Z23" i="14"/>
  <c r="Z22" i="14"/>
  <c r="Z20" i="14"/>
  <c r="Z25" i="14"/>
  <c r="F27" i="14"/>
  <c r="E27" i="14"/>
  <c r="I57" i="14"/>
  <c r="I24" i="14"/>
  <c r="D58" i="13"/>
  <c r="H58" i="13"/>
  <c r="E58" i="13"/>
  <c r="C58" i="13"/>
  <c r="F58" i="13"/>
  <c r="B58" i="13"/>
  <c r="H57" i="13"/>
  <c r="X26" i="13"/>
  <c r="D55" i="13"/>
  <c r="U26" i="13"/>
  <c r="I26" i="13"/>
  <c r="E27" i="13"/>
  <c r="I25" i="13"/>
  <c r="I23" i="13"/>
  <c r="I22" i="13"/>
  <c r="G27" i="13"/>
  <c r="D27" i="13"/>
  <c r="F27" i="13"/>
  <c r="I20" i="13"/>
  <c r="I27" i="13"/>
  <c r="B27" i="13"/>
  <c r="H27" i="13"/>
  <c r="I24" i="13"/>
  <c r="C27" i="13"/>
  <c r="I21" i="13"/>
  <c r="AA21" i="13"/>
  <c r="AA25" i="13"/>
  <c r="AA20" i="13"/>
  <c r="AA24" i="13"/>
  <c r="AA26" i="13"/>
  <c r="AA22" i="13"/>
  <c r="AA23" i="13"/>
  <c r="O20" i="13"/>
  <c r="B57" i="13"/>
  <c r="E57" i="13"/>
  <c r="V22" i="13"/>
  <c r="B55" i="13"/>
  <c r="D53" i="13"/>
  <c r="C53" i="13"/>
  <c r="W20" i="13"/>
  <c r="E54" i="13"/>
  <c r="U23" i="13"/>
  <c r="U21" i="13"/>
  <c r="E53" i="13"/>
  <c r="W22" i="13"/>
  <c r="B54" i="13"/>
  <c r="G56" i="13"/>
  <c r="E52" i="13"/>
  <c r="W21" i="13"/>
  <c r="F57" i="13"/>
  <c r="Z20" i="13"/>
  <c r="D56" i="13"/>
  <c r="D54" i="13"/>
  <c r="G52" i="13"/>
  <c r="U24" i="13"/>
  <c r="F53" i="13"/>
  <c r="C52" i="13"/>
  <c r="F54" i="13"/>
  <c r="B52" i="13"/>
  <c r="I59" i="13" s="1"/>
  <c r="D57" i="13"/>
  <c r="B56" i="13"/>
  <c r="G54" i="13"/>
  <c r="U22" i="13"/>
  <c r="D52" i="13"/>
  <c r="F55" i="13"/>
  <c r="Z22" i="13"/>
  <c r="G57" i="13"/>
  <c r="E56" i="13"/>
  <c r="Z21" i="13"/>
  <c r="X25" i="13"/>
  <c r="Z25" i="13"/>
  <c r="Z24" i="13"/>
  <c r="X21" i="13"/>
  <c r="X23" i="13"/>
  <c r="C56" i="13"/>
  <c r="W25" i="13"/>
  <c r="Y23" i="13"/>
  <c r="X20" i="13"/>
  <c r="V21" i="13"/>
  <c r="X22" i="13"/>
  <c r="V24" i="13"/>
  <c r="V20" i="13"/>
  <c r="C55" i="13"/>
  <c r="Y24" i="13"/>
  <c r="Y20" i="13"/>
  <c r="U20" i="13"/>
  <c r="Y25" i="13"/>
  <c r="W23" i="13"/>
  <c r="Y22" i="13"/>
  <c r="G55" i="13"/>
  <c r="E55" i="13"/>
  <c r="G53" i="12"/>
  <c r="H22" i="12"/>
  <c r="S24" i="12"/>
  <c r="S19" i="12"/>
  <c r="S23" i="12"/>
  <c r="S22" i="12"/>
  <c r="S21" i="12"/>
  <c r="S20" i="12"/>
  <c r="W22" i="12"/>
  <c r="W23" i="12"/>
  <c r="W21" i="12"/>
  <c r="W24" i="12"/>
  <c r="W19" i="12"/>
  <c r="W20" i="12"/>
  <c r="H23" i="12"/>
  <c r="H51" i="12"/>
  <c r="G25" i="12"/>
  <c r="H20" i="12"/>
  <c r="C25" i="12"/>
  <c r="V25" i="12"/>
  <c r="D53" i="12"/>
  <c r="C53" i="12"/>
  <c r="B53" i="12"/>
  <c r="E25" i="12"/>
  <c r="T25" i="12"/>
  <c r="H21" i="12"/>
  <c r="E53" i="12"/>
  <c r="X25" i="12"/>
  <c r="D49" i="12"/>
  <c r="F49" i="12"/>
  <c r="F55" i="12" s="1"/>
  <c r="E49" i="12"/>
  <c r="C49" i="12"/>
  <c r="H52" i="12"/>
  <c r="F25" i="12"/>
  <c r="G49" i="12"/>
  <c r="H25" i="12"/>
  <c r="N19" i="12"/>
  <c r="H19" i="12"/>
  <c r="B25" i="12"/>
  <c r="H54" i="12"/>
  <c r="H50" i="12"/>
  <c r="H24" i="12"/>
  <c r="D25" i="12"/>
  <c r="S23" i="11"/>
  <c r="E51" i="11"/>
  <c r="D52" i="11"/>
  <c r="H52" i="11" s="1"/>
  <c r="S19" i="11"/>
  <c r="S20" i="11"/>
  <c r="S21" i="11"/>
  <c r="B50" i="11"/>
  <c r="B55" i="11" s="1"/>
  <c r="C50" i="11"/>
  <c r="D51" i="11"/>
  <c r="E50" i="11"/>
  <c r="C51" i="11"/>
  <c r="V22" i="11"/>
  <c r="B51" i="11"/>
  <c r="D50" i="11"/>
  <c r="D49" i="11"/>
  <c r="B53" i="11"/>
  <c r="W19" i="11"/>
  <c r="W22" i="11"/>
  <c r="F49" i="11"/>
  <c r="C49" i="11"/>
  <c r="M49" i="11" s="1"/>
  <c r="W23" i="11"/>
  <c r="V20" i="11"/>
  <c r="V23" i="11"/>
  <c r="E49" i="11"/>
  <c r="U20" i="11"/>
  <c r="U21" i="11"/>
  <c r="E53" i="11"/>
  <c r="U22" i="11"/>
  <c r="U25" i="11" s="1"/>
  <c r="U23" i="11"/>
  <c r="V19" i="11"/>
  <c r="D53" i="11"/>
  <c r="W21" i="11"/>
  <c r="F53" i="11"/>
  <c r="T23" i="11"/>
  <c r="T22" i="11"/>
  <c r="Y22" i="11" s="1"/>
  <c r="T21" i="11"/>
  <c r="T20" i="11"/>
  <c r="T19" i="11"/>
  <c r="G22" i="10"/>
  <c r="G51" i="10"/>
  <c r="C23" i="10"/>
  <c r="E23" i="10"/>
  <c r="D48" i="10"/>
  <c r="F48" i="10"/>
  <c r="C48" i="10"/>
  <c r="G20" i="10"/>
  <c r="B48" i="10"/>
  <c r="B52" i="10" s="1"/>
  <c r="G49" i="10"/>
  <c r="F23" i="10"/>
  <c r="R23" i="10"/>
  <c r="S23" i="10"/>
  <c r="C47" i="10"/>
  <c r="G19" i="10"/>
  <c r="V22" i="10"/>
  <c r="U23" i="10"/>
  <c r="D23" i="10"/>
  <c r="G23" i="10"/>
  <c r="B23" i="10"/>
  <c r="M18" i="10"/>
  <c r="G18" i="10"/>
  <c r="AB20" i="10"/>
  <c r="V18" i="10"/>
  <c r="Q23" i="10"/>
  <c r="V23" i="10"/>
  <c r="V20" i="10"/>
  <c r="V19" i="10"/>
  <c r="V21" i="10"/>
  <c r="G50" i="10"/>
  <c r="T23" i="10"/>
  <c r="G21" i="10"/>
  <c r="F47" i="10"/>
  <c r="D47" i="10"/>
  <c r="E47" i="10"/>
  <c r="E52" i="10" s="1"/>
  <c r="C52" i="9"/>
  <c r="G50" i="9"/>
  <c r="F52" i="9"/>
  <c r="B18" i="9"/>
  <c r="Q18" i="9"/>
  <c r="R17" i="8"/>
  <c r="Q18" i="8"/>
  <c r="E45" i="8"/>
  <c r="S11" i="8"/>
  <c r="Q17" i="8"/>
  <c r="E47" i="8"/>
  <c r="E18" i="8"/>
  <c r="C45" i="8"/>
  <c r="E17" i="8"/>
  <c r="D18" i="8"/>
  <c r="D17" i="8"/>
  <c r="R19" i="8"/>
  <c r="B45" i="8"/>
  <c r="R18" i="8"/>
  <c r="C20" i="8"/>
  <c r="C19" i="8"/>
  <c r="D45" i="8"/>
  <c r="B47" i="8"/>
  <c r="Q20" i="8"/>
  <c r="P19" i="8"/>
  <c r="E46" i="8"/>
  <c r="Q19" i="8"/>
  <c r="P18" i="8"/>
  <c r="D47" i="8"/>
  <c r="O19" i="8"/>
  <c r="B44" i="8"/>
  <c r="D20" i="8"/>
  <c r="O18" i="8"/>
  <c r="C44" i="8"/>
  <c r="E20" i="8"/>
  <c r="E44" i="8"/>
  <c r="C47" i="8"/>
  <c r="D44" i="8"/>
  <c r="O20" i="8"/>
  <c r="C17" i="8"/>
  <c r="C18" i="8"/>
  <c r="B17" i="8"/>
  <c r="B18" i="8"/>
  <c r="R20" i="8"/>
  <c r="E19" i="8"/>
  <c r="B20" i="8"/>
  <c r="P17" i="8"/>
  <c r="C46" i="8"/>
  <c r="B46" i="8"/>
  <c r="D46" i="8"/>
  <c r="O17" i="8"/>
  <c r="D19" i="8"/>
  <c r="B19" i="8"/>
  <c r="P20" i="8"/>
  <c r="F38" i="5"/>
  <c r="S11" i="5"/>
  <c r="U45" i="3"/>
  <c r="N37" i="3"/>
  <c r="P35" i="3"/>
  <c r="M37" i="3"/>
  <c r="U15" i="3"/>
  <c r="M10" i="3"/>
  <c r="P10" i="3" s="1"/>
  <c r="N17" i="3" s="1"/>
  <c r="E34" i="3"/>
  <c r="C37" i="3"/>
  <c r="E37" i="3" s="1"/>
  <c r="E11" i="1"/>
  <c r="E10" i="3"/>
  <c r="B16" i="3" s="1"/>
  <c r="E37" i="2"/>
  <c r="Q10" i="2"/>
  <c r="N7" i="1"/>
  <c r="L5" i="1"/>
  <c r="M7" i="1"/>
  <c r="N6" i="1"/>
  <c r="B13" i="1"/>
  <c r="M5" i="1"/>
  <c r="L7" i="1"/>
  <c r="M6" i="1"/>
  <c r="M10" i="1" s="1"/>
  <c r="L6" i="1"/>
  <c r="O6" i="1" s="1"/>
  <c r="N5" i="1"/>
  <c r="E10" i="2"/>
  <c r="T11" i="1"/>
  <c r="U10" i="1"/>
  <c r="V25" i="11" l="1"/>
  <c r="Y21" i="11"/>
  <c r="Y20" i="11"/>
  <c r="T25" i="11"/>
  <c r="W25" i="11"/>
  <c r="S25" i="11"/>
  <c r="AE19" i="11"/>
  <c r="Y19" i="11"/>
  <c r="Y25" i="11"/>
  <c r="Y23" i="11"/>
  <c r="I59" i="14"/>
  <c r="G59" i="14"/>
  <c r="B59" i="14"/>
  <c r="AB24" i="14"/>
  <c r="D59" i="14"/>
  <c r="C59" i="14"/>
  <c r="W27" i="14"/>
  <c r="N52" i="14"/>
  <c r="L51" i="14" s="1"/>
  <c r="F59" i="14"/>
  <c r="I52" i="14"/>
  <c r="AB26" i="14"/>
  <c r="AB22" i="14"/>
  <c r="AB23" i="14"/>
  <c r="I53" i="14"/>
  <c r="AB21" i="14"/>
  <c r="AB25" i="14"/>
  <c r="Y27" i="14"/>
  <c r="AB20" i="14"/>
  <c r="L19" i="14"/>
  <c r="O22" i="14"/>
  <c r="Z27" i="14"/>
  <c r="AB27" i="14"/>
  <c r="AH20" i="14"/>
  <c r="I58" i="13"/>
  <c r="H59" i="13"/>
  <c r="AB26" i="13"/>
  <c r="I53" i="13"/>
  <c r="AB25" i="13"/>
  <c r="D59" i="13"/>
  <c r="V27" i="13"/>
  <c r="I57" i="13"/>
  <c r="C59" i="13"/>
  <c r="F59" i="13"/>
  <c r="Z27" i="13"/>
  <c r="AA27" i="13"/>
  <c r="Y27" i="13"/>
  <c r="I56" i="13"/>
  <c r="I55" i="13"/>
  <c r="I54" i="13"/>
  <c r="W27" i="13"/>
  <c r="AB22" i="13"/>
  <c r="E59" i="13"/>
  <c r="AB27" i="13"/>
  <c r="U27" i="13"/>
  <c r="AB20" i="13"/>
  <c r="I52" i="13"/>
  <c r="B59" i="13"/>
  <c r="AB24" i="13"/>
  <c r="AB21" i="13"/>
  <c r="X27" i="13"/>
  <c r="G59" i="13"/>
  <c r="AB23" i="13"/>
  <c r="N52" i="13"/>
  <c r="L51" i="13" s="1"/>
  <c r="AH20" i="13"/>
  <c r="AE19" i="13" s="1"/>
  <c r="O22" i="13"/>
  <c r="L19" i="13"/>
  <c r="G55" i="12"/>
  <c r="E55" i="12"/>
  <c r="H53" i="12"/>
  <c r="C55" i="12"/>
  <c r="Y22" i="12"/>
  <c r="Y23" i="12"/>
  <c r="K18" i="12"/>
  <c r="N21" i="12"/>
  <c r="S25" i="12"/>
  <c r="Y25" i="12"/>
  <c r="AE19" i="12"/>
  <c r="Y19" i="12"/>
  <c r="Y24" i="12"/>
  <c r="W25" i="12"/>
  <c r="M49" i="12"/>
  <c r="K48" i="12" s="1"/>
  <c r="D55" i="12"/>
  <c r="H55" i="12"/>
  <c r="H49" i="12"/>
  <c r="B55" i="12"/>
  <c r="Y20" i="12"/>
  <c r="Y21" i="12"/>
  <c r="E55" i="11"/>
  <c r="D55" i="11"/>
  <c r="H51" i="11"/>
  <c r="H50" i="11"/>
  <c r="F55" i="11"/>
  <c r="H53" i="11"/>
  <c r="C55" i="11"/>
  <c r="H49" i="11"/>
  <c r="H55" i="11"/>
  <c r="AE21" i="11"/>
  <c r="K48" i="11"/>
  <c r="N21" i="11"/>
  <c r="K18" i="11"/>
  <c r="J46" i="10"/>
  <c r="G48" i="10"/>
  <c r="C52" i="10"/>
  <c r="F52" i="10"/>
  <c r="G52" i="10"/>
  <c r="D52" i="10"/>
  <c r="Y17" i="10"/>
  <c r="G47" i="10"/>
  <c r="J17" i="10"/>
  <c r="M20" i="10"/>
  <c r="B52" i="9"/>
  <c r="V20" i="9"/>
  <c r="U23" i="9"/>
  <c r="V19" i="9"/>
  <c r="T23" i="9"/>
  <c r="V18" i="9"/>
  <c r="Q23" i="9"/>
  <c r="V21" i="9"/>
  <c r="S23" i="9"/>
  <c r="V22" i="9"/>
  <c r="R23" i="9"/>
  <c r="AB20" i="9"/>
  <c r="J46" i="9"/>
  <c r="M20" i="9"/>
  <c r="F45" i="8"/>
  <c r="Q21" i="8"/>
  <c r="E48" i="8"/>
  <c r="F47" i="8"/>
  <c r="E21" i="8"/>
  <c r="C48" i="8"/>
  <c r="S20" i="8"/>
  <c r="P21" i="8"/>
  <c r="R21" i="8"/>
  <c r="K44" i="8"/>
  <c r="I43" i="8" s="1"/>
  <c r="S18" i="8"/>
  <c r="S19" i="8"/>
  <c r="F20" i="8"/>
  <c r="F44" i="8"/>
  <c r="D21" i="8"/>
  <c r="F46" i="8"/>
  <c r="B48" i="8"/>
  <c r="D48" i="8"/>
  <c r="O21" i="8"/>
  <c r="Y17" i="8"/>
  <c r="Y19" i="8" s="1"/>
  <c r="S17" i="8"/>
  <c r="C21" i="8"/>
  <c r="F18" i="8"/>
  <c r="F19" i="8"/>
  <c r="L17" i="8"/>
  <c r="L19" i="8" s="1"/>
  <c r="F17" i="8"/>
  <c r="B21" i="8"/>
  <c r="F21" i="8"/>
  <c r="B17" i="5"/>
  <c r="B44" i="5"/>
  <c r="O17" i="5"/>
  <c r="P37" i="3"/>
  <c r="N45" i="3"/>
  <c r="M45" i="3"/>
  <c r="M16" i="3"/>
  <c r="O44" i="3"/>
  <c r="M18" i="3"/>
  <c r="N18" i="3"/>
  <c r="O43" i="3"/>
  <c r="M44" i="3"/>
  <c r="N43" i="3"/>
  <c r="O17" i="3"/>
  <c r="M43" i="3"/>
  <c r="M17" i="3"/>
  <c r="N16" i="3"/>
  <c r="N44" i="3"/>
  <c r="B18" i="2"/>
  <c r="N16" i="2"/>
  <c r="O45" i="3"/>
  <c r="D16" i="2"/>
  <c r="L8" i="1"/>
  <c r="N8" i="1"/>
  <c r="O16" i="3"/>
  <c r="O18" i="3"/>
  <c r="D18" i="3"/>
  <c r="C43" i="3"/>
  <c r="D44" i="3"/>
  <c r="D16" i="3"/>
  <c r="C17" i="3"/>
  <c r="B45" i="3"/>
  <c r="D17" i="3"/>
  <c r="C18" i="3"/>
  <c r="C16" i="3"/>
  <c r="J16" i="3" s="1"/>
  <c r="B43" i="3"/>
  <c r="C45" i="3"/>
  <c r="D45" i="3"/>
  <c r="D43" i="3"/>
  <c r="C44" i="3"/>
  <c r="B18" i="3"/>
  <c r="E18" i="3" s="1"/>
  <c r="B44" i="3"/>
  <c r="B17" i="3"/>
  <c r="P17" i="2"/>
  <c r="B43" i="2"/>
  <c r="D44" i="2"/>
  <c r="N18" i="2"/>
  <c r="P16" i="2"/>
  <c r="O45" i="2"/>
  <c r="P18" i="2"/>
  <c r="N17" i="2"/>
  <c r="C16" i="2"/>
  <c r="D43" i="2"/>
  <c r="D17" i="2"/>
  <c r="O17" i="2"/>
  <c r="C44" i="2"/>
  <c r="P43" i="2"/>
  <c r="C17" i="2"/>
  <c r="B17" i="2"/>
  <c r="D18" i="2"/>
  <c r="O44" i="2"/>
  <c r="P45" i="2"/>
  <c r="O16" i="2"/>
  <c r="B45" i="2"/>
  <c r="D45" i="2"/>
  <c r="N45" i="2"/>
  <c r="C18" i="2"/>
  <c r="C45" i="2"/>
  <c r="O18" i="2"/>
  <c r="B16" i="2"/>
  <c r="B44" i="2"/>
  <c r="E44" i="2" s="1"/>
  <c r="N44" i="2"/>
  <c r="O43" i="2"/>
  <c r="P44" i="2"/>
  <c r="N43" i="2"/>
  <c r="C43" i="2"/>
  <c r="O5" i="1"/>
  <c r="M8" i="1"/>
  <c r="O7" i="1"/>
  <c r="N10" i="1"/>
  <c r="L10" i="1"/>
  <c r="S11" i="1"/>
  <c r="U11" i="1"/>
  <c r="R13" i="1" s="1"/>
  <c r="AE19" i="14" l="1"/>
  <c r="AH22" i="14"/>
  <c r="AH22" i="13"/>
  <c r="AE21" i="12"/>
  <c r="AB18" i="12"/>
  <c r="AB18" i="11"/>
  <c r="S21" i="8"/>
  <c r="F48" i="8"/>
  <c r="F46" i="5"/>
  <c r="D48" i="5"/>
  <c r="F45" i="5"/>
  <c r="C48" i="5"/>
  <c r="L17" i="5"/>
  <c r="L19" i="5" s="1"/>
  <c r="F44" i="5"/>
  <c r="B48" i="5"/>
  <c r="K44" i="5"/>
  <c r="I43" i="5" s="1"/>
  <c r="S19" i="5"/>
  <c r="S18" i="5"/>
  <c r="Y17" i="5"/>
  <c r="Y19" i="5" s="1"/>
  <c r="S17" i="5"/>
  <c r="O21" i="5"/>
  <c r="P21" i="5"/>
  <c r="Q21" i="5"/>
  <c r="C21" i="5"/>
  <c r="F19" i="5"/>
  <c r="F18" i="5"/>
  <c r="D21" i="5"/>
  <c r="B21" i="5"/>
  <c r="F17" i="5"/>
  <c r="F21" i="5"/>
  <c r="P43" i="3"/>
  <c r="N46" i="3"/>
  <c r="O46" i="3"/>
  <c r="U16" i="3"/>
  <c r="M46" i="3"/>
  <c r="P45" i="3"/>
  <c r="E44" i="3"/>
  <c r="Q18" i="2"/>
  <c r="D46" i="2"/>
  <c r="N19" i="2"/>
  <c r="Q45" i="2"/>
  <c r="P19" i="2"/>
  <c r="J43" i="3"/>
  <c r="P44" i="3"/>
  <c r="V43" i="2"/>
  <c r="T42" i="2" s="1"/>
  <c r="O10" i="1"/>
  <c r="K16" i="2"/>
  <c r="B46" i="2"/>
  <c r="J43" i="2"/>
  <c r="W16" i="2"/>
  <c r="E18" i="2"/>
  <c r="E45" i="3"/>
  <c r="C46" i="3"/>
  <c r="N19" i="3"/>
  <c r="C19" i="3"/>
  <c r="E17" i="3"/>
  <c r="D19" i="3"/>
  <c r="D46" i="3"/>
  <c r="E43" i="3"/>
  <c r="B46" i="3"/>
  <c r="P16" i="3"/>
  <c r="M19" i="3"/>
  <c r="E16" i="3"/>
  <c r="B19" i="3"/>
  <c r="P18" i="3"/>
  <c r="P17" i="3"/>
  <c r="O19" i="3"/>
  <c r="Q17" i="2"/>
  <c r="E17" i="2"/>
  <c r="Q16" i="2"/>
  <c r="E43" i="2"/>
  <c r="Q44" i="2"/>
  <c r="O19" i="2"/>
  <c r="Q19" i="2" s="1"/>
  <c r="Q43" i="2"/>
  <c r="P46" i="2"/>
  <c r="O46" i="2"/>
  <c r="B19" i="2"/>
  <c r="E16" i="2"/>
  <c r="D19" i="2"/>
  <c r="C46" i="2"/>
  <c r="E46" i="2" s="1"/>
  <c r="N46" i="2"/>
  <c r="E45" i="2"/>
  <c r="C19" i="2"/>
  <c r="O8" i="1"/>
  <c r="F48" i="5" l="1"/>
  <c r="S21" i="5"/>
  <c r="P46" i="3"/>
  <c r="E19" i="3"/>
  <c r="E46" i="3"/>
  <c r="P19" i="3"/>
  <c r="N11" i="1"/>
  <c r="M11" i="1"/>
  <c r="O11" i="1" s="1"/>
  <c r="L13" i="1" s="1"/>
  <c r="L11" i="1"/>
  <c r="Q46" i="2"/>
</calcChain>
</file>

<file path=xl/sharedStrings.xml><?xml version="1.0" encoding="utf-8"?>
<sst xmlns="http://schemas.openxmlformats.org/spreadsheetml/2006/main" count="1486" uniqueCount="44">
  <si>
    <t>Cohen's Kappa</t>
  </si>
  <si>
    <t>Judge 1</t>
  </si>
  <si>
    <t>Judge 2</t>
  </si>
  <si>
    <t>A</t>
  </si>
  <si>
    <t>B</t>
  </si>
  <si>
    <t>C</t>
  </si>
  <si>
    <t>Total</t>
  </si>
  <si>
    <t>Agreement</t>
  </si>
  <si>
    <t>By Chance</t>
  </si>
  <si>
    <t>Kappa</t>
  </si>
  <si>
    <t>na</t>
  </si>
  <si>
    <t>ne</t>
  </si>
  <si>
    <t>pa</t>
  </si>
  <si>
    <t>pe</t>
  </si>
  <si>
    <t>Weight</t>
  </si>
  <si>
    <t>Expectations</t>
  </si>
  <si>
    <t>Weighted Kappa (Linear)</t>
  </si>
  <si>
    <t>Weighted Kappa (Quadratic)</t>
  </si>
  <si>
    <t>Unweighted Kappa (Cohen's Kappa)</t>
  </si>
  <si>
    <t>num:</t>
  </si>
  <si>
    <t>den:</t>
  </si>
  <si>
    <t>Confusion Matrix</t>
  </si>
  <si>
    <t>Expected Matrix</t>
  </si>
  <si>
    <t>K:</t>
  </si>
  <si>
    <t>Actual</t>
  </si>
  <si>
    <t>Prediction</t>
  </si>
  <si>
    <t>judge1</t>
  </si>
  <si>
    <t>judge2</t>
  </si>
  <si>
    <t>k</t>
  </si>
  <si>
    <t>D</t>
  </si>
  <si>
    <t>Num:</t>
  </si>
  <si>
    <t>Den:</t>
  </si>
  <si>
    <t>E</t>
  </si>
  <si>
    <t>F</t>
  </si>
  <si>
    <t>G</t>
  </si>
  <si>
    <t>Linear Kappa</t>
  </si>
  <si>
    <t>Quadratic Kappa</t>
  </si>
  <si>
    <t>balance</t>
  </si>
  <si>
    <t>imbalance</t>
  </si>
  <si>
    <t>3 class</t>
  </si>
  <si>
    <t>4 class</t>
  </si>
  <si>
    <t>5 class</t>
  </si>
  <si>
    <t>6 class</t>
  </si>
  <si>
    <t>7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</si>
</sst>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3" xfId="0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548640</xdr:colOff>
      <xdr:row>4</xdr:row>
      <xdr:rowOff>121920</xdr:rowOff>
    </xdr:from>
    <xdr:to>
      <xdr:col>7</xdr:col>
      <xdr:colOff>60960</xdr:colOff>
      <xdr:row>6</xdr:row>
      <xdr:rowOff>99060</xdr:rowOff>
    </xdr:to>
    <xdr:pic>
      <xdr:nvPicPr>
        <xdr:cNvPr id="2" name="Picture 1" descr="Cohens kappa formula">
          <a:extLst>
            <a:ext uri="{FF2B5EF4-FFF2-40B4-BE49-F238E27FC236}">
              <a16:creationId xmlns:a16="http://schemas.microsoft.com/office/drawing/2014/main" id="{14FCBFEA-046B-44BB-B53E-341E28212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860" y="853440"/>
          <a:ext cx="73152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285750</xdr:colOff>
      <xdr:row>2</xdr:row>
      <xdr:rowOff>57150</xdr:rowOff>
    </xdr:from>
    <xdr:to>
      <xdr:col>9</xdr:col>
      <xdr:colOff>323850</xdr:colOff>
      <xdr:row>4</xdr:row>
      <xdr:rowOff>28575</xdr:rowOff>
    </xdr:to>
    <xdr:pic>
      <xdr:nvPicPr>
        <xdr:cNvPr id="3" name="Picture 2" descr="image2645">
          <a:extLst>
            <a:ext uri="{FF2B5EF4-FFF2-40B4-BE49-F238E27FC236}">
              <a16:creationId xmlns:a16="http://schemas.microsoft.com/office/drawing/2014/main" id="{3B8BB631-F7BE-42BC-80F9-D54DD5800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419100"/>
          <a:ext cx="12573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548640</xdr:colOff>
      <xdr:row>2</xdr:row>
      <xdr:rowOff>30480</xdr:rowOff>
    </xdr:from>
    <xdr:to>
      <xdr:col>7</xdr:col>
      <xdr:colOff>81915</xdr:colOff>
      <xdr:row>4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A70A96-2680-421D-A3D3-E6B40B169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3860" y="396240"/>
          <a:ext cx="752475" cy="342900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6</xdr:row>
      <xdr:rowOff>121920</xdr:rowOff>
    </xdr:from>
    <xdr:to>
      <xdr:col>8</xdr:col>
      <xdr:colOff>556260</xdr:colOff>
      <xdr:row>9</xdr:row>
      <xdr:rowOff>41751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C2B2D8-85A7-4EB9-943C-EDFF79FD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0540" y="1219200"/>
          <a:ext cx="1729740" cy="468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15</xdr:row>
      <xdr:rowOff>114300</xdr:rowOff>
    </xdr:from>
    <xdr:to>
      <xdr:col>8</xdr:col>
      <xdr:colOff>91440</xdr:colOff>
      <xdr:row>17</xdr:row>
      <xdr:rowOff>152400</xdr:rowOff>
    </xdr:to>
    <xdr:pic>
      <xdr:nvPicPr>
        <xdr:cNvPr id="5" name="Picture 4" descr="image9208">
          <a:extLst>
            <a:ext uri="{FF2B5EF4-FFF2-40B4-BE49-F238E27FC236}">
              <a16:creationId xmlns:a16="http://schemas.microsoft.com/office/drawing/2014/main" id="{FA1CA56E-6929-4BF6-B993-F27D03DA6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2857500"/>
          <a:ext cx="11811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129540</xdr:colOff>
      <xdr:row>18</xdr:row>
      <xdr:rowOff>114300</xdr:rowOff>
    </xdr:from>
    <xdr:to>
      <xdr:col>8</xdr:col>
      <xdr:colOff>76200</xdr:colOff>
      <xdr:row>20</xdr:row>
      <xdr:rowOff>133350</xdr:rowOff>
    </xdr:to>
    <xdr:pic>
      <xdr:nvPicPr>
        <xdr:cNvPr id="6" name="Picture 5" descr="image9213">
          <a:extLst>
            <a:ext uri="{FF2B5EF4-FFF2-40B4-BE49-F238E27FC236}">
              <a16:creationId xmlns:a16="http://schemas.microsoft.com/office/drawing/2014/main" id="{3F48A4B8-168F-46AC-8776-74A44F5E5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3406140"/>
          <a:ext cx="116586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510540</xdr:colOff>
      <xdr:row>20</xdr:row>
      <xdr:rowOff>175260</xdr:rowOff>
    </xdr:from>
    <xdr:to>
      <xdr:col>8</xdr:col>
      <xdr:colOff>552450</xdr:colOff>
      <xdr:row>23</xdr:row>
      <xdr:rowOff>57150</xdr:rowOff>
    </xdr:to>
    <xdr:pic>
      <xdr:nvPicPr>
        <xdr:cNvPr id="7" name="Picture 6" descr="image9214">
          <a:extLst>
            <a:ext uri="{FF2B5EF4-FFF2-40B4-BE49-F238E27FC236}">
              <a16:creationId xmlns:a16="http://schemas.microsoft.com/office/drawing/2014/main" id="{4DB9706E-C1EA-4FBA-8A4F-CC84D3FD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360" y="3832860"/>
          <a:ext cx="124968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518160</xdr:colOff>
      <xdr:row>23</xdr:row>
      <xdr:rowOff>60960</xdr:rowOff>
    </xdr:from>
    <xdr:to>
      <xdr:col>9</xdr:col>
      <xdr:colOff>15240</xdr:colOff>
      <xdr:row>25</xdr:row>
      <xdr:rowOff>114300</xdr:rowOff>
    </xdr:to>
    <xdr:pic>
      <xdr:nvPicPr>
        <xdr:cNvPr id="8" name="Picture 7" descr="image9211">
          <a:extLst>
            <a:ext uri="{FF2B5EF4-FFF2-40B4-BE49-F238E27FC236}">
              <a16:creationId xmlns:a16="http://schemas.microsoft.com/office/drawing/2014/main" id="{C90932E9-432B-46CB-B292-80355739C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980" y="4267200"/>
          <a:ext cx="132588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502920</xdr:colOff>
      <xdr:row>25</xdr:row>
      <xdr:rowOff>99060</xdr:rowOff>
    </xdr:from>
    <xdr:to>
      <xdr:col>8</xdr:col>
      <xdr:colOff>209550</xdr:colOff>
      <xdr:row>27</xdr:row>
      <xdr:rowOff>76200</xdr:rowOff>
    </xdr:to>
    <xdr:pic>
      <xdr:nvPicPr>
        <xdr:cNvPr id="9" name="Picture 8" descr="image9210">
          <a:extLst>
            <a:ext uri="{FF2B5EF4-FFF2-40B4-BE49-F238E27FC236}">
              <a16:creationId xmlns:a16="http://schemas.microsoft.com/office/drawing/2014/main" id="{45E7C14F-9F64-4ACD-8774-A0251F410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4671060"/>
          <a:ext cx="9144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15</xdr:row>
      <xdr:rowOff>114300</xdr:rowOff>
    </xdr:from>
    <xdr:to>
      <xdr:col>8</xdr:col>
      <xdr:colOff>95250</xdr:colOff>
      <xdr:row>17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235207CC-2403-4617-8542-3812058C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2857500"/>
          <a:ext cx="1181100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129540</xdr:colOff>
      <xdr:row>18</xdr:row>
      <xdr:rowOff>114300</xdr:rowOff>
    </xdr:from>
    <xdr:to>
      <xdr:col>8</xdr:col>
      <xdr:colOff>76200</xdr:colOff>
      <xdr:row>20</xdr:row>
      <xdr:rowOff>129540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82EA8BB6-24CA-4DA9-941F-7C28BE09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4360" y="3406140"/>
          <a:ext cx="116586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510540</xdr:colOff>
      <xdr:row>20</xdr:row>
      <xdr:rowOff>175260</xdr:rowOff>
    </xdr:from>
    <xdr:to>
      <xdr:col>8</xdr:col>
      <xdr:colOff>548640</xdr:colOff>
      <xdr:row>23</xdr:row>
      <xdr:rowOff>53340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CD75336B-10D8-4229-BEE3-E305EFCC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360" y="3832860"/>
          <a:ext cx="124968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518160</xdr:colOff>
      <xdr:row>23</xdr:row>
      <xdr:rowOff>60960</xdr:rowOff>
    </xdr:from>
    <xdr:to>
      <xdr:col>9</xdr:col>
      <xdr:colOff>19050</xdr:colOff>
      <xdr:row>25</xdr:row>
      <xdr:rowOff>114300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D93DC590-9797-4097-8C8F-C2CD075BF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2980" y="4267200"/>
          <a:ext cx="132588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502920</xdr:colOff>
      <xdr:row>25</xdr:row>
      <xdr:rowOff>99060</xdr:rowOff>
    </xdr:from>
    <xdr:to>
      <xdr:col>8</xdr:col>
      <xdr:colOff>205740</xdr:colOff>
      <xdr:row>27</xdr:row>
      <xdr:rowOff>76200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3C3CFDCD-AA92-4820-87B5-40D7073F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7740" y="4671060"/>
          <a:ext cx="9144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</xdr:colOff>
      <xdr:row>16</xdr:row>
      <xdr:rowOff>114300</xdr:rowOff>
    </xdr:from>
    <xdr:to>
      <xdr:col>9</xdr:col>
      <xdr:colOff>91440</xdr:colOff>
      <xdr:row>18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EC4C2DAF-7F15-4ECE-BDFE-4B0128976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2828925"/>
          <a:ext cx="11811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19</xdr:row>
      <xdr:rowOff>139065</xdr:rowOff>
    </xdr:from>
    <xdr:to>
      <xdr:col>9</xdr:col>
      <xdr:colOff>76200</xdr:colOff>
      <xdr:row>21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367406AC-E312-4340-A2BB-D97C5528B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577590"/>
          <a:ext cx="1162050" cy="384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514350</xdr:colOff>
      <xdr:row>22</xdr:row>
      <xdr:rowOff>19050</xdr:rowOff>
    </xdr:from>
    <xdr:to>
      <xdr:col>9</xdr:col>
      <xdr:colOff>548640</xdr:colOff>
      <xdr:row>24</xdr:row>
      <xdr:rowOff>95250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F7A6C39E-89FB-4889-8416-179E207A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4000500"/>
          <a:ext cx="1253490" cy="43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514350</xdr:colOff>
      <xdr:row>24</xdr:row>
      <xdr:rowOff>68580</xdr:rowOff>
    </xdr:from>
    <xdr:to>
      <xdr:col>10</xdr:col>
      <xdr:colOff>19050</xdr:colOff>
      <xdr:row>26</xdr:row>
      <xdr:rowOff>131445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501B2FB2-73CE-4671-9126-2417A84AB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4411980"/>
          <a:ext cx="1333500" cy="432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510540</xdr:colOff>
      <xdr:row>26</xdr:row>
      <xdr:rowOff>125730</xdr:rowOff>
    </xdr:from>
    <xdr:to>
      <xdr:col>9</xdr:col>
      <xdr:colOff>205740</xdr:colOff>
      <xdr:row>28</xdr:row>
      <xdr:rowOff>112395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E5307059-458D-4646-8A86-B3CEADCA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865" y="4831080"/>
          <a:ext cx="9144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129540</xdr:colOff>
      <xdr:row>16</xdr:row>
      <xdr:rowOff>114300</xdr:rowOff>
    </xdr:from>
    <xdr:to>
      <xdr:col>9</xdr:col>
      <xdr:colOff>91440</xdr:colOff>
      <xdr:row>18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5CDE5436-A8CD-4BD3-9608-96888C4B4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009900"/>
          <a:ext cx="11811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19</xdr:row>
      <xdr:rowOff>139065</xdr:rowOff>
    </xdr:from>
    <xdr:to>
      <xdr:col>9</xdr:col>
      <xdr:colOff>76200</xdr:colOff>
      <xdr:row>21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F0954819-2E68-45FA-98E0-E6F0581F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5865" y="3573780"/>
          <a:ext cx="116586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514350</xdr:colOff>
      <xdr:row>22</xdr:row>
      <xdr:rowOff>19050</xdr:rowOff>
    </xdr:from>
    <xdr:to>
      <xdr:col>9</xdr:col>
      <xdr:colOff>548640</xdr:colOff>
      <xdr:row>24</xdr:row>
      <xdr:rowOff>95250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6305BA3F-9E23-4F73-9E50-4F9E8516C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865" y="3996690"/>
          <a:ext cx="126111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514350</xdr:colOff>
      <xdr:row>24</xdr:row>
      <xdr:rowOff>68580</xdr:rowOff>
    </xdr:from>
    <xdr:to>
      <xdr:col>10</xdr:col>
      <xdr:colOff>19050</xdr:colOff>
      <xdr:row>26</xdr:row>
      <xdr:rowOff>131445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22887245-37D4-4D55-977D-7B7F95D29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865" y="4410075"/>
          <a:ext cx="1333500" cy="43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510540</xdr:colOff>
      <xdr:row>26</xdr:row>
      <xdr:rowOff>125730</xdr:rowOff>
    </xdr:from>
    <xdr:to>
      <xdr:col>9</xdr:col>
      <xdr:colOff>205740</xdr:colOff>
      <xdr:row>28</xdr:row>
      <xdr:rowOff>112395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704F4FF7-2B63-408F-B289-84B6A3B7D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4834890"/>
          <a:ext cx="914400" cy="3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129540</xdr:colOff>
      <xdr:row>17</xdr:row>
      <xdr:rowOff>114300</xdr:rowOff>
    </xdr:from>
    <xdr:to>
      <xdr:col>10</xdr:col>
      <xdr:colOff>91440</xdr:colOff>
      <xdr:row>19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6156E701-0BA1-42F3-A01E-63F87CFD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009900"/>
          <a:ext cx="11811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20</xdr:row>
      <xdr:rowOff>139065</xdr:rowOff>
    </xdr:from>
    <xdr:to>
      <xdr:col>10</xdr:col>
      <xdr:colOff>76200</xdr:colOff>
      <xdr:row>22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F6DDB06E-B465-4DA3-8D72-5B17962C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5865" y="3573780"/>
          <a:ext cx="116586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24</xdr:row>
      <xdr:rowOff>19050</xdr:rowOff>
    </xdr:from>
    <xdr:to>
      <xdr:col>10</xdr:col>
      <xdr:colOff>548640</xdr:colOff>
      <xdr:row>26</xdr:row>
      <xdr:rowOff>95250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751A301D-AB9C-42CC-BA84-AD317DAE1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865" y="3996690"/>
          <a:ext cx="126111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26</xdr:row>
      <xdr:rowOff>68580</xdr:rowOff>
    </xdr:from>
    <xdr:to>
      <xdr:col>11</xdr:col>
      <xdr:colOff>19050</xdr:colOff>
      <xdr:row>28</xdr:row>
      <xdr:rowOff>131445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2B88EC8D-1379-45F9-8A0C-60B543636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6865" y="4410075"/>
          <a:ext cx="1333500" cy="43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510540</xdr:colOff>
      <xdr:row>28</xdr:row>
      <xdr:rowOff>125730</xdr:rowOff>
    </xdr:from>
    <xdr:to>
      <xdr:col>10</xdr:col>
      <xdr:colOff>205740</xdr:colOff>
      <xdr:row>30</xdr:row>
      <xdr:rowOff>112395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743FD648-70BF-4161-806C-4FD88226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4834890"/>
          <a:ext cx="914400" cy="3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129540</xdr:colOff>
      <xdr:row>17</xdr:row>
      <xdr:rowOff>114300</xdr:rowOff>
    </xdr:from>
    <xdr:to>
      <xdr:col>10</xdr:col>
      <xdr:colOff>95250</xdr:colOff>
      <xdr:row>19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FED9D381-6E19-4E6B-853D-E0E02924F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190875"/>
          <a:ext cx="11811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20</xdr:row>
      <xdr:rowOff>139065</xdr:rowOff>
    </xdr:from>
    <xdr:to>
      <xdr:col>10</xdr:col>
      <xdr:colOff>76200</xdr:colOff>
      <xdr:row>22</xdr:row>
      <xdr:rowOff>171450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70175864-3782-47A0-9C55-246EC312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5465" y="3754755"/>
          <a:ext cx="116586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24</xdr:row>
      <xdr:rowOff>19050</xdr:rowOff>
    </xdr:from>
    <xdr:to>
      <xdr:col>10</xdr:col>
      <xdr:colOff>552450</xdr:colOff>
      <xdr:row>26</xdr:row>
      <xdr:rowOff>91440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7D7DA951-C8EB-4BA2-B895-1C495F7A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465" y="4358640"/>
          <a:ext cx="126111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514350</xdr:colOff>
      <xdr:row>26</xdr:row>
      <xdr:rowOff>68580</xdr:rowOff>
    </xdr:from>
    <xdr:to>
      <xdr:col>11</xdr:col>
      <xdr:colOff>15240</xdr:colOff>
      <xdr:row>28</xdr:row>
      <xdr:rowOff>135255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8604B7C9-F91C-4106-8604-42A418859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465" y="4772025"/>
          <a:ext cx="1333500" cy="43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510540</xdr:colOff>
      <xdr:row>28</xdr:row>
      <xdr:rowOff>125730</xdr:rowOff>
    </xdr:from>
    <xdr:to>
      <xdr:col>10</xdr:col>
      <xdr:colOff>209550</xdr:colOff>
      <xdr:row>30</xdr:row>
      <xdr:rowOff>112395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C5962CD3-9349-4F51-B59F-C22182F26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5196840"/>
          <a:ext cx="914400" cy="344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129540</xdr:colOff>
      <xdr:row>18</xdr:row>
      <xdr:rowOff>114300</xdr:rowOff>
    </xdr:from>
    <xdr:to>
      <xdr:col>11</xdr:col>
      <xdr:colOff>99059</xdr:colOff>
      <xdr:row>20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92390DA8-EF53-4330-A6A6-EB38EBC5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190875"/>
          <a:ext cx="11811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21</xdr:row>
      <xdr:rowOff>139065</xdr:rowOff>
    </xdr:from>
    <xdr:to>
      <xdr:col>11</xdr:col>
      <xdr:colOff>76199</xdr:colOff>
      <xdr:row>23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46C6BA92-8D4F-4400-871E-9F4668DE2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5465" y="3754755"/>
          <a:ext cx="1165860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173692</xdr:colOff>
      <xdr:row>24</xdr:row>
      <xdr:rowOff>72838</xdr:rowOff>
    </xdr:from>
    <xdr:to>
      <xdr:col>11</xdr:col>
      <xdr:colOff>215601</xdr:colOff>
      <xdr:row>26</xdr:row>
      <xdr:rowOff>149038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CBB165DE-BF6F-414F-9D0E-CEA12405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8657" y="4375897"/>
          <a:ext cx="1261109" cy="434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173692</xdr:colOff>
      <xdr:row>26</xdr:row>
      <xdr:rowOff>122368</xdr:rowOff>
    </xdr:from>
    <xdr:to>
      <xdr:col>11</xdr:col>
      <xdr:colOff>287992</xdr:colOff>
      <xdr:row>29</xdr:row>
      <xdr:rowOff>5939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757F421A-3932-408C-A351-59AD49D74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8657" y="4784015"/>
          <a:ext cx="1333500" cy="421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169882</xdr:colOff>
      <xdr:row>29</xdr:row>
      <xdr:rowOff>225</xdr:rowOff>
    </xdr:from>
    <xdr:to>
      <xdr:col>10</xdr:col>
      <xdr:colOff>482301</xdr:colOff>
      <xdr:row>30</xdr:row>
      <xdr:rowOff>166184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577D9FEE-B494-4F73-AD2A-D61F5C735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847" y="5199754"/>
          <a:ext cx="922019" cy="345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129540</xdr:colOff>
      <xdr:row>18</xdr:row>
      <xdr:rowOff>114300</xdr:rowOff>
    </xdr:from>
    <xdr:to>
      <xdr:col>11</xdr:col>
      <xdr:colOff>99059</xdr:colOff>
      <xdr:row>20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1F4C5B2B-92CA-4361-B27D-EAB7662D2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3371850"/>
          <a:ext cx="1181099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21</xdr:row>
      <xdr:rowOff>139065</xdr:rowOff>
    </xdr:from>
    <xdr:to>
      <xdr:col>11</xdr:col>
      <xdr:colOff>76199</xdr:colOff>
      <xdr:row>23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233F3053-7519-49ED-83E5-99CD8FC7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065" y="3935730"/>
          <a:ext cx="1165859" cy="3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173691</xdr:colOff>
      <xdr:row>24</xdr:row>
      <xdr:rowOff>108696</xdr:rowOff>
    </xdr:from>
    <xdr:to>
      <xdr:col>11</xdr:col>
      <xdr:colOff>215600</xdr:colOff>
      <xdr:row>27</xdr:row>
      <xdr:rowOff>5602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ECC89C74-18CD-4E44-B2A6-E51370BF0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8656" y="4411755"/>
          <a:ext cx="1261109" cy="434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173691</xdr:colOff>
      <xdr:row>26</xdr:row>
      <xdr:rowOff>158226</xdr:rowOff>
    </xdr:from>
    <xdr:to>
      <xdr:col>11</xdr:col>
      <xdr:colOff>287991</xdr:colOff>
      <xdr:row>29</xdr:row>
      <xdr:rowOff>41797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C4FD93C5-518A-4FEF-84BB-223247AE9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8656" y="4819873"/>
          <a:ext cx="1333500" cy="421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169881</xdr:colOff>
      <xdr:row>29</xdr:row>
      <xdr:rowOff>36083</xdr:rowOff>
    </xdr:from>
    <xdr:to>
      <xdr:col>10</xdr:col>
      <xdr:colOff>482300</xdr:colOff>
      <xdr:row>31</xdr:row>
      <xdr:rowOff>22748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6EF6768B-9D82-4DB5-87C6-91FA21AC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846" y="5235612"/>
          <a:ext cx="922019" cy="345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19</xdr:row>
      <xdr:rowOff>114300</xdr:rowOff>
    </xdr:from>
    <xdr:to>
      <xdr:col>12</xdr:col>
      <xdr:colOff>91440</xdr:colOff>
      <xdr:row>21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2AA7F38A-9FD7-45E8-B3A7-94A65C754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3160" y="3406140"/>
          <a:ext cx="1188719" cy="40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133350</xdr:colOff>
      <xdr:row>22</xdr:row>
      <xdr:rowOff>139065</xdr:rowOff>
    </xdr:from>
    <xdr:to>
      <xdr:col>12</xdr:col>
      <xdr:colOff>76200</xdr:colOff>
      <xdr:row>24</xdr:row>
      <xdr:rowOff>167640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92EAB3C9-9FE0-46E2-96B4-E1265C4E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6970" y="3979545"/>
          <a:ext cx="1162049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253093</xdr:colOff>
      <xdr:row>25</xdr:row>
      <xdr:rowOff>149678</xdr:rowOff>
    </xdr:from>
    <xdr:to>
      <xdr:col>12</xdr:col>
      <xdr:colOff>287383</xdr:colOff>
      <xdr:row>28</xdr:row>
      <xdr:rowOff>40821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5E9658D4-A61F-43BD-979E-DE55A8767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9579" y="4776107"/>
          <a:ext cx="1253490" cy="446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253093</xdr:colOff>
      <xdr:row>28</xdr:row>
      <xdr:rowOff>14151</xdr:rowOff>
    </xdr:from>
    <xdr:to>
      <xdr:col>12</xdr:col>
      <xdr:colOff>367393</xdr:colOff>
      <xdr:row>30</xdr:row>
      <xdr:rowOff>77017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EEC16BBE-518C-4624-971A-1A51916F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9579" y="5195751"/>
          <a:ext cx="1333500" cy="43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249283</xdr:colOff>
      <xdr:row>30</xdr:row>
      <xdr:rowOff>71302</xdr:rowOff>
    </xdr:from>
    <xdr:to>
      <xdr:col>11</xdr:col>
      <xdr:colOff>554083</xdr:colOff>
      <xdr:row>32</xdr:row>
      <xdr:rowOff>57966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17B6A63B-CE11-48B1-9A0C-6F32F3E8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5769" y="5623016"/>
          <a:ext cx="914400" cy="356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19</xdr:row>
      <xdr:rowOff>114300</xdr:rowOff>
    </xdr:from>
    <xdr:to>
      <xdr:col>12</xdr:col>
      <xdr:colOff>95250</xdr:colOff>
      <xdr:row>21</xdr:row>
      <xdr:rowOff>152400</xdr:rowOff>
    </xdr:to>
    <xdr:pic>
      <xdr:nvPicPr>
        <xdr:cNvPr id="2" name="Picture 1" descr="image9208">
          <a:extLst>
            <a:ext uri="{FF2B5EF4-FFF2-40B4-BE49-F238E27FC236}">
              <a16:creationId xmlns:a16="http://schemas.microsoft.com/office/drawing/2014/main" id="{0A156D47-299C-4897-9E55-A45E4B6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552825"/>
          <a:ext cx="117729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133350</xdr:colOff>
      <xdr:row>22</xdr:row>
      <xdr:rowOff>139065</xdr:rowOff>
    </xdr:from>
    <xdr:to>
      <xdr:col>12</xdr:col>
      <xdr:colOff>76200</xdr:colOff>
      <xdr:row>24</xdr:row>
      <xdr:rowOff>171450</xdr:rowOff>
    </xdr:to>
    <xdr:pic>
      <xdr:nvPicPr>
        <xdr:cNvPr id="3" name="Picture 2" descr="image9213">
          <a:extLst>
            <a:ext uri="{FF2B5EF4-FFF2-40B4-BE49-F238E27FC236}">
              <a16:creationId xmlns:a16="http://schemas.microsoft.com/office/drawing/2014/main" id="{E51E7980-E6B3-4A67-8ED7-430CF737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665" y="4116705"/>
          <a:ext cx="1165860" cy="394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281267</xdr:colOff>
      <xdr:row>25</xdr:row>
      <xdr:rowOff>108697</xdr:rowOff>
    </xdr:from>
    <xdr:to>
      <xdr:col>12</xdr:col>
      <xdr:colOff>319367</xdr:colOff>
      <xdr:row>28</xdr:row>
      <xdr:rowOff>1794</xdr:rowOff>
    </xdr:to>
    <xdr:pic>
      <xdr:nvPicPr>
        <xdr:cNvPr id="4" name="Picture 3" descr="image9214">
          <a:extLst>
            <a:ext uri="{FF2B5EF4-FFF2-40B4-BE49-F238E27FC236}">
              <a16:creationId xmlns:a16="http://schemas.microsoft.com/office/drawing/2014/main" id="{84DC0996-0B06-45F6-9BC1-409A3BD33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832" y="4591050"/>
          <a:ext cx="1257300" cy="430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281267</xdr:colOff>
      <xdr:row>27</xdr:row>
      <xdr:rowOff>158228</xdr:rowOff>
    </xdr:from>
    <xdr:to>
      <xdr:col>12</xdr:col>
      <xdr:colOff>391757</xdr:colOff>
      <xdr:row>30</xdr:row>
      <xdr:rowOff>45608</xdr:rowOff>
    </xdr:to>
    <xdr:pic>
      <xdr:nvPicPr>
        <xdr:cNvPr id="5" name="Picture 4" descr="image9211">
          <a:extLst>
            <a:ext uri="{FF2B5EF4-FFF2-40B4-BE49-F238E27FC236}">
              <a16:creationId xmlns:a16="http://schemas.microsoft.com/office/drawing/2014/main" id="{DEFFB3CD-A9DC-433C-8604-F29997E1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5832" y="4999169"/>
          <a:ext cx="1329690" cy="42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277457</xdr:colOff>
      <xdr:row>30</xdr:row>
      <xdr:rowOff>36083</xdr:rowOff>
    </xdr:from>
    <xdr:to>
      <xdr:col>11</xdr:col>
      <xdr:colOff>586067</xdr:colOff>
      <xdr:row>32</xdr:row>
      <xdr:rowOff>22748</xdr:rowOff>
    </xdr:to>
    <xdr:pic>
      <xdr:nvPicPr>
        <xdr:cNvPr id="6" name="Picture 5" descr="image9210">
          <a:extLst>
            <a:ext uri="{FF2B5EF4-FFF2-40B4-BE49-F238E27FC236}">
              <a16:creationId xmlns:a16="http://schemas.microsoft.com/office/drawing/2014/main" id="{5EC4BEC3-9022-4EB7-8EFF-579D90AA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2022" y="5414907"/>
          <a:ext cx="918210" cy="345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A3FF-6B18-41E7-8401-2B7B04F8FE04}">
  <dimension ref="A1:U14"/>
  <sheetViews>
    <sheetView workbookViewId="0">
      <selection activeCell="R13" sqref="R13"/>
    </sheetView>
  </sheetViews>
  <sheetFormatPr defaultRowHeight="14.4" x14ac:dyDescent="0.3"/>
  <cols>
    <col min="1" max="1" width="17.88671875" style="1" customWidth="1"/>
    <col min="2" max="10" width="8.88671875" style="1"/>
    <col min="11" max="11" width="18.21875" style="1" customWidth="1"/>
    <col min="12" max="16" width="8.88671875" style="1"/>
    <col min="17" max="17" width="12.33203125" style="1" customWidth="1"/>
    <col min="18" max="16384" width="8.88671875" style="1"/>
  </cols>
  <sheetData>
    <row r="1" spans="1:21" x14ac:dyDescent="0.3">
      <c r="A1" s="2" t="s">
        <v>0</v>
      </c>
    </row>
    <row r="3" spans="1:21" x14ac:dyDescent="0.3">
      <c r="A3" s="3"/>
      <c r="B3" s="3"/>
      <c r="C3" s="3" t="s">
        <v>1</v>
      </c>
      <c r="D3" s="3"/>
      <c r="E3" s="3"/>
      <c r="G3"/>
      <c r="K3" s="3"/>
      <c r="L3" s="3"/>
      <c r="M3" s="3" t="s">
        <v>1</v>
      </c>
      <c r="N3" s="3"/>
      <c r="O3" s="3"/>
      <c r="Q3" s="3"/>
      <c r="R3" s="3"/>
      <c r="S3" s="3" t="s">
        <v>1</v>
      </c>
      <c r="T3" s="3"/>
      <c r="U3" s="3"/>
    </row>
    <row r="4" spans="1:2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K4" s="3" t="s">
        <v>2</v>
      </c>
      <c r="L4" s="3" t="s">
        <v>3</v>
      </c>
      <c r="M4" s="3" t="s">
        <v>4</v>
      </c>
      <c r="N4" s="3" t="s">
        <v>5</v>
      </c>
      <c r="O4" s="3" t="s">
        <v>6</v>
      </c>
      <c r="Q4" s="3" t="s">
        <v>2</v>
      </c>
      <c r="R4" s="3" t="s">
        <v>3</v>
      </c>
      <c r="S4" s="3" t="s">
        <v>4</v>
      </c>
      <c r="T4" s="3" t="s">
        <v>5</v>
      </c>
      <c r="U4" s="3" t="s">
        <v>6</v>
      </c>
    </row>
    <row r="5" spans="1:21" x14ac:dyDescent="0.3">
      <c r="A5" s="3" t="s">
        <v>3</v>
      </c>
      <c r="B5" s="5">
        <v>10</v>
      </c>
      <c r="C5" s="5">
        <v>4</v>
      </c>
      <c r="D5" s="5">
        <v>1</v>
      </c>
      <c r="E5" s="3">
        <f>SUM(B5:D5)</f>
        <v>15</v>
      </c>
      <c r="K5" s="3" t="s">
        <v>3</v>
      </c>
      <c r="L5" s="5">
        <f>B5/$E$8</f>
        <v>0.2</v>
      </c>
      <c r="M5" s="5">
        <f>C5/$E$8</f>
        <v>0.08</v>
      </c>
      <c r="N5" s="5">
        <f>D5/$E$8</f>
        <v>0.02</v>
      </c>
      <c r="O5" s="3">
        <f>SUM(L5:N5)</f>
        <v>0.30000000000000004</v>
      </c>
      <c r="Q5" s="3" t="s">
        <v>3</v>
      </c>
      <c r="R5" s="5">
        <v>0.32</v>
      </c>
      <c r="S5" s="5">
        <v>0</v>
      </c>
      <c r="T5" s="5">
        <v>0</v>
      </c>
      <c r="U5" s="3">
        <f>SUM(R5:T5)</f>
        <v>0.32</v>
      </c>
    </row>
    <row r="6" spans="1:21" x14ac:dyDescent="0.3">
      <c r="A6" s="3" t="s">
        <v>4</v>
      </c>
      <c r="B6" s="5">
        <v>6</v>
      </c>
      <c r="C6" s="5">
        <v>16</v>
      </c>
      <c r="D6" s="5">
        <v>2</v>
      </c>
      <c r="E6" s="3">
        <f>SUM(B6:D6)</f>
        <v>24</v>
      </c>
      <c r="K6" s="3" t="s">
        <v>4</v>
      </c>
      <c r="L6" s="5">
        <f t="shared" ref="L6:L7" si="0">B6/$E$8</f>
        <v>0.12</v>
      </c>
      <c r="M6" s="5">
        <f t="shared" ref="M6:M7" si="1">C6/$E$8</f>
        <v>0.32</v>
      </c>
      <c r="N6" s="5">
        <f t="shared" ref="N6:N7" si="2">D6/$E$8</f>
        <v>0.04</v>
      </c>
      <c r="O6" s="3">
        <f>SUM(L6:N6)</f>
        <v>0.48</v>
      </c>
      <c r="Q6" s="3" t="s">
        <v>4</v>
      </c>
      <c r="R6" s="5">
        <v>0</v>
      </c>
      <c r="S6" s="5">
        <v>0.46</v>
      </c>
      <c r="T6" s="5">
        <v>0</v>
      </c>
      <c r="U6" s="3">
        <f>SUM(R6:T6)</f>
        <v>0.46</v>
      </c>
    </row>
    <row r="7" spans="1:21" x14ac:dyDescent="0.3">
      <c r="A7" s="3" t="s">
        <v>5</v>
      </c>
      <c r="B7" s="5">
        <v>0</v>
      </c>
      <c r="C7" s="5">
        <v>3</v>
      </c>
      <c r="D7" s="5">
        <v>8</v>
      </c>
      <c r="E7" s="3">
        <f>SUM(B7:D7)</f>
        <v>11</v>
      </c>
      <c r="K7" s="3" t="s">
        <v>5</v>
      </c>
      <c r="L7" s="5">
        <f t="shared" si="0"/>
        <v>0</v>
      </c>
      <c r="M7" s="5">
        <f t="shared" si="1"/>
        <v>0.06</v>
      </c>
      <c r="N7" s="5">
        <f t="shared" si="2"/>
        <v>0.16</v>
      </c>
      <c r="O7" s="3">
        <f>SUM(L7:N7)</f>
        <v>0.22</v>
      </c>
      <c r="Q7" s="3" t="s">
        <v>5</v>
      </c>
      <c r="R7" s="5">
        <v>0</v>
      </c>
      <c r="S7" s="5">
        <v>0</v>
      </c>
      <c r="T7" s="5">
        <v>0.22</v>
      </c>
      <c r="U7" s="3">
        <f>SUM(R7:T7)</f>
        <v>0.22</v>
      </c>
    </row>
    <row r="8" spans="1:21" x14ac:dyDescent="0.3">
      <c r="A8" s="3" t="s">
        <v>6</v>
      </c>
      <c r="B8" s="3">
        <f>SUM(B5:B7)</f>
        <v>16</v>
      </c>
      <c r="C8" s="3">
        <f>SUM(C5:C7)</f>
        <v>23</v>
      </c>
      <c r="D8" s="3">
        <f>SUM(D5:D7)</f>
        <v>11</v>
      </c>
      <c r="E8" s="3">
        <f>SUM(B8:D8)</f>
        <v>50</v>
      </c>
      <c r="G8"/>
      <c r="K8" s="3" t="s">
        <v>6</v>
      </c>
      <c r="L8" s="3">
        <f>SUM(L5:L7)</f>
        <v>0.32</v>
      </c>
      <c r="M8" s="3">
        <f>SUM(M5:M7)</f>
        <v>0.46</v>
      </c>
      <c r="N8" s="3">
        <f>SUM(N5:N7)</f>
        <v>0.22</v>
      </c>
      <c r="O8" s="3">
        <f>SUM(L8:N8)</f>
        <v>1</v>
      </c>
      <c r="Q8" s="3" t="s">
        <v>6</v>
      </c>
      <c r="R8" s="3">
        <f>SUM(R5:R7)</f>
        <v>0.32</v>
      </c>
      <c r="S8" s="3">
        <f>SUM(S5:S7)</f>
        <v>0.46</v>
      </c>
      <c r="T8" s="3">
        <f>SUM(T5:T7)</f>
        <v>0.22</v>
      </c>
      <c r="U8" s="3">
        <f>SUM(R8:T8)</f>
        <v>1</v>
      </c>
    </row>
    <row r="9" spans="1:21" x14ac:dyDescent="0.3">
      <c r="Q9" s="3"/>
      <c r="R9" s="3"/>
      <c r="S9" s="3"/>
      <c r="T9" s="3"/>
      <c r="U9" s="3"/>
    </row>
    <row r="10" spans="1:21" x14ac:dyDescent="0.3">
      <c r="A10" s="3" t="s">
        <v>7</v>
      </c>
      <c r="B10" s="3">
        <f>B5</f>
        <v>10</v>
      </c>
      <c r="C10" s="3">
        <f>C6</f>
        <v>16</v>
      </c>
      <c r="D10" s="3">
        <f>D7</f>
        <v>8</v>
      </c>
      <c r="E10" s="3">
        <f>SUM(B10:D10)</f>
        <v>34</v>
      </c>
      <c r="F10" s="1" t="s">
        <v>10</v>
      </c>
      <c r="K10" s="3" t="s">
        <v>7</v>
      </c>
      <c r="L10" s="3">
        <f>L5</f>
        <v>0.2</v>
      </c>
      <c r="M10" s="3">
        <f>M6</f>
        <v>0.32</v>
      </c>
      <c r="N10" s="3">
        <f>N7</f>
        <v>0.16</v>
      </c>
      <c r="O10" s="3">
        <f>SUM(L10:N10)</f>
        <v>0.68</v>
      </c>
      <c r="P10" s="1" t="s">
        <v>12</v>
      </c>
      <c r="Q10" s="3" t="s">
        <v>7</v>
      </c>
      <c r="R10" s="3">
        <f>R5</f>
        <v>0.32</v>
      </c>
      <c r="S10" s="3">
        <f>S6</f>
        <v>0.46</v>
      </c>
      <c r="T10" s="3">
        <f>T7</f>
        <v>0.22</v>
      </c>
      <c r="U10" s="3">
        <f>SUM(R10:T10)</f>
        <v>1</v>
      </c>
    </row>
    <row r="11" spans="1:21" x14ac:dyDescent="0.3">
      <c r="A11" s="3" t="s">
        <v>8</v>
      </c>
      <c r="B11" s="3">
        <f>B$8*$E5/$E$8</f>
        <v>4.8</v>
      </c>
      <c r="C11" s="3">
        <f>C$8*$E6/$E$8</f>
        <v>11.04</v>
      </c>
      <c r="D11" s="3">
        <f>D$8*$E7/$E$8</f>
        <v>2.42</v>
      </c>
      <c r="E11" s="3">
        <f>SUM(B11:D11)</f>
        <v>18.259999999999998</v>
      </c>
      <c r="F11" s="1" t="s">
        <v>11</v>
      </c>
      <c r="K11" s="3" t="s">
        <v>8</v>
      </c>
      <c r="L11" s="3">
        <f>L$8*$O5/$O$8</f>
        <v>9.6000000000000016E-2</v>
      </c>
      <c r="M11" s="3">
        <f>M$8*$O6/$O$8</f>
        <v>0.2208</v>
      </c>
      <c r="N11" s="3">
        <f>N$8*$O7/$O$8</f>
        <v>4.8399999999999999E-2</v>
      </c>
      <c r="O11" s="3">
        <f>SUM(L11:N11)</f>
        <v>0.36520000000000002</v>
      </c>
      <c r="P11" s="1" t="s">
        <v>13</v>
      </c>
      <c r="Q11" s="3" t="s">
        <v>8</v>
      </c>
      <c r="R11" s="3">
        <f>R$8*$U5/$U$8</f>
        <v>0.1024</v>
      </c>
      <c r="S11" s="3">
        <f>S$8*$U6/$U$8</f>
        <v>0.21160000000000001</v>
      </c>
      <c r="T11" s="3">
        <f>T$8*$U7/$U$8</f>
        <v>4.8399999999999999E-2</v>
      </c>
      <c r="U11" s="3">
        <f>SUM(R11:T11)</f>
        <v>0.3624</v>
      </c>
    </row>
    <row r="12" spans="1:21" x14ac:dyDescent="0.3">
      <c r="A12" s="3"/>
      <c r="B12" s="3"/>
      <c r="C12" s="3"/>
      <c r="D12" s="3"/>
      <c r="E12" s="3"/>
      <c r="K12" s="3"/>
      <c r="L12" s="3"/>
      <c r="M12" s="3"/>
      <c r="N12" s="3"/>
      <c r="O12" s="3"/>
      <c r="Q12" s="3"/>
      <c r="R12" s="3"/>
      <c r="S12" s="3"/>
      <c r="T12" s="3"/>
      <c r="U12" s="3"/>
    </row>
    <row r="13" spans="1:21" x14ac:dyDescent="0.3">
      <c r="A13" s="4" t="s">
        <v>9</v>
      </c>
      <c r="B13" s="4">
        <f>(E10-E11)/(E8-E11)</f>
        <v>0.49590422180214244</v>
      </c>
      <c r="C13" s="3"/>
      <c r="D13" s="3"/>
      <c r="E13" s="3"/>
      <c r="K13" s="4" t="s">
        <v>9</v>
      </c>
      <c r="L13" s="4">
        <f>(O10-O11)/(O8-O11)</f>
        <v>0.49590422180214244</v>
      </c>
      <c r="M13" s="3"/>
      <c r="N13" s="3"/>
      <c r="O13" s="3"/>
      <c r="Q13" s="4" t="s">
        <v>9</v>
      </c>
      <c r="R13" s="4">
        <f>(U10-U11)/(U8-U11)</f>
        <v>1</v>
      </c>
      <c r="S13" s="3"/>
      <c r="T13" s="3"/>
      <c r="U13" s="3"/>
    </row>
    <row r="14" spans="1:21" x14ac:dyDescent="0.3">
      <c r="B1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14F5-634A-48F3-9667-8F1D9C8EF880}">
  <dimension ref="A2:W46"/>
  <sheetViews>
    <sheetView topLeftCell="A7" workbookViewId="0">
      <selection activeCell="S25" sqref="S25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3" x14ac:dyDescent="0.3">
      <c r="A2" s="2"/>
    </row>
    <row r="3" spans="1:23" x14ac:dyDescent="0.3">
      <c r="A3" s="2" t="s">
        <v>21</v>
      </c>
      <c r="L3" s="2"/>
      <c r="M3" s="2" t="s">
        <v>21</v>
      </c>
    </row>
    <row r="4" spans="1:23" x14ac:dyDescent="0.3">
      <c r="G4" s="6" t="s">
        <v>16</v>
      </c>
      <c r="S4" s="6" t="s">
        <v>18</v>
      </c>
    </row>
    <row r="5" spans="1:23" x14ac:dyDescent="0.3">
      <c r="A5" s="3"/>
      <c r="B5" s="3"/>
      <c r="C5" s="3" t="s">
        <v>1</v>
      </c>
      <c r="D5" s="3"/>
      <c r="E5" s="3"/>
      <c r="G5" s="3"/>
      <c r="H5" s="3"/>
      <c r="I5" s="3" t="s">
        <v>14</v>
      </c>
      <c r="J5" s="3"/>
      <c r="K5" s="8"/>
      <c r="M5" s="3"/>
      <c r="N5" s="3"/>
      <c r="O5" s="3" t="s">
        <v>1</v>
      </c>
      <c r="P5" s="3"/>
      <c r="Q5" s="3"/>
      <c r="S5" s="3"/>
      <c r="T5" s="3"/>
      <c r="U5" s="3" t="s">
        <v>14</v>
      </c>
      <c r="V5" s="3"/>
    </row>
    <row r="6" spans="1:23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G6" s="3"/>
      <c r="H6" s="3" t="s">
        <v>3</v>
      </c>
      <c r="I6" s="3" t="s">
        <v>4</v>
      </c>
      <c r="J6" s="3" t="s">
        <v>5</v>
      </c>
      <c r="K6" s="8"/>
      <c r="M6" s="3" t="s">
        <v>2</v>
      </c>
      <c r="N6" s="3" t="s">
        <v>3</v>
      </c>
      <c r="O6" s="3" t="s">
        <v>4</v>
      </c>
      <c r="P6" s="3" t="s">
        <v>5</v>
      </c>
      <c r="Q6" s="3" t="s">
        <v>6</v>
      </c>
      <c r="S6" s="3"/>
      <c r="T6" s="3" t="s">
        <v>3</v>
      </c>
      <c r="U6" s="3" t="s">
        <v>4</v>
      </c>
      <c r="V6" s="3" t="s">
        <v>5</v>
      </c>
    </row>
    <row r="7" spans="1:23" x14ac:dyDescent="0.3">
      <c r="A7" s="3" t="s">
        <v>3</v>
      </c>
      <c r="B7" s="7">
        <v>16</v>
      </c>
      <c r="C7" s="5">
        <v>6</v>
      </c>
      <c r="D7" s="5">
        <v>2</v>
      </c>
      <c r="E7" s="3">
        <f>SUM(B7:D7)</f>
        <v>24</v>
      </c>
      <c r="G7" s="3" t="s">
        <v>3</v>
      </c>
      <c r="H7" s="5">
        <v>0</v>
      </c>
      <c r="I7" s="5">
        <v>1</v>
      </c>
      <c r="J7" s="5">
        <v>2</v>
      </c>
      <c r="K7" s="9"/>
      <c r="M7" s="3" t="s">
        <v>3</v>
      </c>
      <c r="N7" s="7">
        <v>16</v>
      </c>
      <c r="O7" s="5">
        <v>6</v>
      </c>
      <c r="P7" s="5">
        <v>2</v>
      </c>
      <c r="Q7" s="3">
        <f>SUM(N7:P7)</f>
        <v>24</v>
      </c>
      <c r="S7" s="3" t="s">
        <v>3</v>
      </c>
      <c r="T7" s="5">
        <v>0</v>
      </c>
      <c r="U7" s="5">
        <v>1</v>
      </c>
      <c r="V7" s="5">
        <v>1</v>
      </c>
    </row>
    <row r="8" spans="1:23" x14ac:dyDescent="0.3">
      <c r="A8" s="3" t="s">
        <v>4</v>
      </c>
      <c r="B8" s="5">
        <v>4</v>
      </c>
      <c r="C8" s="7">
        <v>10</v>
      </c>
      <c r="D8" s="5">
        <v>1</v>
      </c>
      <c r="E8" s="3">
        <f>SUM(B8:D8)</f>
        <v>15</v>
      </c>
      <c r="G8" s="3" t="s">
        <v>4</v>
      </c>
      <c r="H8" s="5">
        <v>1</v>
      </c>
      <c r="I8" s="5">
        <v>0</v>
      </c>
      <c r="J8" s="5">
        <v>1</v>
      </c>
      <c r="K8" s="9"/>
      <c r="M8" s="3" t="s">
        <v>4</v>
      </c>
      <c r="N8" s="5">
        <v>4</v>
      </c>
      <c r="O8" s="7">
        <v>10</v>
      </c>
      <c r="P8" s="5">
        <v>1</v>
      </c>
      <c r="Q8" s="3">
        <f>SUM(N8:P8)</f>
        <v>15</v>
      </c>
      <c r="S8" s="3" t="s">
        <v>4</v>
      </c>
      <c r="T8" s="5">
        <v>1</v>
      </c>
      <c r="U8" s="5">
        <v>0</v>
      </c>
      <c r="V8" s="5">
        <v>1</v>
      </c>
    </row>
    <row r="9" spans="1:23" x14ac:dyDescent="0.3">
      <c r="A9" s="3" t="s">
        <v>5</v>
      </c>
      <c r="B9" s="5">
        <v>3</v>
      </c>
      <c r="C9" s="5">
        <v>0</v>
      </c>
      <c r="D9" s="7">
        <v>8</v>
      </c>
      <c r="E9" s="3">
        <f>SUM(B9:D9)</f>
        <v>11</v>
      </c>
      <c r="G9" s="3" t="s">
        <v>5</v>
      </c>
      <c r="H9" s="5">
        <v>2</v>
      </c>
      <c r="I9" s="5">
        <v>1</v>
      </c>
      <c r="J9" s="5">
        <v>0</v>
      </c>
      <c r="K9" s="9"/>
      <c r="M9" s="3" t="s">
        <v>5</v>
      </c>
      <c r="N9" s="5">
        <v>3</v>
      </c>
      <c r="O9" s="5">
        <v>0</v>
      </c>
      <c r="P9" s="7">
        <v>8</v>
      </c>
      <c r="Q9" s="3">
        <f>SUM(N9:P9)</f>
        <v>11</v>
      </c>
      <c r="S9" s="3" t="s">
        <v>5</v>
      </c>
      <c r="T9" s="5">
        <v>1</v>
      </c>
      <c r="U9" s="5">
        <v>1</v>
      </c>
      <c r="V9" s="5">
        <v>0</v>
      </c>
    </row>
    <row r="10" spans="1:23" x14ac:dyDescent="0.3">
      <c r="A10" s="3" t="s">
        <v>6</v>
      </c>
      <c r="B10" s="3">
        <f>SUM(B7:B9)</f>
        <v>23</v>
      </c>
      <c r="C10" s="3">
        <f>SUM(C7:C9)</f>
        <v>16</v>
      </c>
      <c r="D10" s="3">
        <f>SUM(D7:D9)</f>
        <v>11</v>
      </c>
      <c r="E10" s="3">
        <f>SUM(B10:D10)</f>
        <v>50</v>
      </c>
      <c r="K10" s="10"/>
      <c r="M10" s="3" t="s">
        <v>6</v>
      </c>
      <c r="N10" s="3">
        <f>SUM(N7:N9)</f>
        <v>23</v>
      </c>
      <c r="O10" s="3">
        <f>SUM(O7:O9)</f>
        <v>16</v>
      </c>
      <c r="P10" s="3">
        <f>SUM(P7:P9)</f>
        <v>11</v>
      </c>
      <c r="Q10" s="3">
        <f>SUM(N10:P10)</f>
        <v>50</v>
      </c>
    </row>
    <row r="12" spans="1:23" x14ac:dyDescent="0.3">
      <c r="A12" s="2" t="s">
        <v>22</v>
      </c>
      <c r="B12"/>
      <c r="M12" s="2" t="s">
        <v>22</v>
      </c>
      <c r="N12"/>
    </row>
    <row r="14" spans="1:23" x14ac:dyDescent="0.3">
      <c r="A14" s="3"/>
      <c r="B14" s="3"/>
      <c r="C14" s="3" t="s">
        <v>1</v>
      </c>
      <c r="D14" s="3"/>
      <c r="E14" s="3"/>
      <c r="M14" s="3"/>
      <c r="N14" s="3"/>
      <c r="O14" s="3" t="s">
        <v>1</v>
      </c>
      <c r="P14" s="3"/>
      <c r="Q14" s="3"/>
    </row>
    <row r="15" spans="1:23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G15" s="2" t="s">
        <v>9</v>
      </c>
      <c r="H15" s="2">
        <f>1-(K15/K16)</f>
        <v>0.50095057034220547</v>
      </c>
      <c r="J15" s="11" t="s">
        <v>19</v>
      </c>
      <c r="K15" s="2">
        <f>SUMPRODUCT(B7:D9,H7:J9)</f>
        <v>21</v>
      </c>
      <c r="M15" s="3" t="s">
        <v>2</v>
      </c>
      <c r="N15" s="3" t="s">
        <v>3</v>
      </c>
      <c r="O15" s="3" t="s">
        <v>4</v>
      </c>
      <c r="P15" s="3" t="s">
        <v>5</v>
      </c>
      <c r="Q15" s="3" t="s">
        <v>6</v>
      </c>
      <c r="S15" s="2" t="s">
        <v>9</v>
      </c>
      <c r="T15" s="2">
        <f>1-(W15/W16)</f>
        <v>0.49590422180214233</v>
      </c>
      <c r="V15" s="11" t="s">
        <v>19</v>
      </c>
      <c r="W15" s="2">
        <f>SUMPRODUCT(N7:P9,T7:V9)</f>
        <v>16</v>
      </c>
    </row>
    <row r="16" spans="1:23" x14ac:dyDescent="0.3">
      <c r="A16" s="3" t="s">
        <v>3</v>
      </c>
      <c r="B16" s="7">
        <f t="shared" ref="B16:D17" si="0">B$10*$E7/$E$10</f>
        <v>11.04</v>
      </c>
      <c r="C16" s="5">
        <f t="shared" si="0"/>
        <v>7.68</v>
      </c>
      <c r="D16" s="5">
        <f t="shared" si="0"/>
        <v>5.28</v>
      </c>
      <c r="E16" s="3">
        <f>SUM(B16:D16)</f>
        <v>24</v>
      </c>
      <c r="J16" s="11" t="s">
        <v>20</v>
      </c>
      <c r="K16" s="2">
        <f>SUMPRODUCT(B16:D18,H7:J9)</f>
        <v>42.080000000000005</v>
      </c>
      <c r="M16" s="3" t="s">
        <v>3</v>
      </c>
      <c r="N16" s="7">
        <f t="shared" ref="N16:P17" si="1">N$10*$E7/$E$10</f>
        <v>11.04</v>
      </c>
      <c r="O16" s="5">
        <f t="shared" si="1"/>
        <v>7.68</v>
      </c>
      <c r="P16" s="5">
        <f t="shared" si="1"/>
        <v>5.28</v>
      </c>
      <c r="Q16" s="3">
        <f>SUM(N16:P16)</f>
        <v>24</v>
      </c>
      <c r="V16" s="11" t="s">
        <v>20</v>
      </c>
      <c r="W16" s="2">
        <f>SUMPRODUCT(N16:P18,T7:V9)</f>
        <v>31.74</v>
      </c>
    </row>
    <row r="17" spans="1:23" x14ac:dyDescent="0.3">
      <c r="A17" s="3" t="s">
        <v>4</v>
      </c>
      <c r="B17" s="5">
        <f t="shared" si="0"/>
        <v>6.9</v>
      </c>
      <c r="C17" s="7">
        <f t="shared" si="0"/>
        <v>4.8</v>
      </c>
      <c r="D17" s="5">
        <f t="shared" si="0"/>
        <v>3.3</v>
      </c>
      <c r="E17" s="3">
        <f>SUM(B17:D17)</f>
        <v>15</v>
      </c>
      <c r="G17"/>
      <c r="M17" s="3" t="s">
        <v>4</v>
      </c>
      <c r="N17" s="5">
        <f t="shared" si="1"/>
        <v>6.9</v>
      </c>
      <c r="O17" s="7">
        <f t="shared" si="1"/>
        <v>4.8</v>
      </c>
      <c r="P17" s="5">
        <f t="shared" si="1"/>
        <v>3.3</v>
      </c>
      <c r="Q17" s="3">
        <f>SUM(N17:P17)</f>
        <v>15</v>
      </c>
    </row>
    <row r="18" spans="1:23" x14ac:dyDescent="0.3">
      <c r="A18" s="3" t="s">
        <v>5</v>
      </c>
      <c r="B18" s="5">
        <f>B$10*$E9/$E$10</f>
        <v>5.0599999999999996</v>
      </c>
      <c r="C18" s="5">
        <f t="shared" ref="C18" si="2">C$10*$E9/$E$10</f>
        <v>3.52</v>
      </c>
      <c r="D18" s="7">
        <f>D$10*$E9/$E$10</f>
        <v>2.42</v>
      </c>
      <c r="E18" s="3">
        <f>SUM(B18:D18)</f>
        <v>11</v>
      </c>
      <c r="J18" s="11" t="s">
        <v>23</v>
      </c>
      <c r="K18" s="1">
        <f>1-(K15/K16)</f>
        <v>0.50095057034220547</v>
      </c>
      <c r="M18" s="3" t="s">
        <v>5</v>
      </c>
      <c r="N18" s="5">
        <f>N$10*$E9/$E$10</f>
        <v>5.0599999999999996</v>
      </c>
      <c r="O18" s="5">
        <f t="shared" ref="O18" si="3">O$10*$E9/$E$10</f>
        <v>3.52</v>
      </c>
      <c r="P18" s="7">
        <f>P$10*$E9/$E$10</f>
        <v>2.42</v>
      </c>
      <c r="Q18" s="3">
        <f>SUM(N18:P18)</f>
        <v>11</v>
      </c>
      <c r="V18" s="11" t="s">
        <v>23</v>
      </c>
      <c r="W18" s="1">
        <f>1-(W15/W16)</f>
        <v>0.49590422180214233</v>
      </c>
    </row>
    <row r="19" spans="1:23" x14ac:dyDescent="0.3">
      <c r="A19" s="3" t="s">
        <v>6</v>
      </c>
      <c r="B19" s="3">
        <f>SUM(B16:B18)</f>
        <v>22.999999999999996</v>
      </c>
      <c r="C19" s="3">
        <f>SUM(C16:C18)</f>
        <v>16</v>
      </c>
      <c r="D19" s="3">
        <f>SUM(D16:D18)</f>
        <v>11</v>
      </c>
      <c r="E19" s="3">
        <f>SUM(B16:D18)</f>
        <v>50</v>
      </c>
      <c r="G19"/>
      <c r="M19" s="3" t="s">
        <v>6</v>
      </c>
      <c r="N19" s="3">
        <f>SUM(N16:N18)</f>
        <v>22.999999999999996</v>
      </c>
      <c r="O19" s="3">
        <f>SUM(O16:O18)</f>
        <v>16</v>
      </c>
      <c r="P19" s="3">
        <f>SUM(P16:P18)</f>
        <v>11</v>
      </c>
      <c r="Q19" s="3">
        <f>SUM(N19:P19)</f>
        <v>50</v>
      </c>
    </row>
    <row r="20" spans="1:23" x14ac:dyDescent="0.3">
      <c r="I20"/>
    </row>
    <row r="23" spans="1:23" x14ac:dyDescent="0.3">
      <c r="M23"/>
    </row>
    <row r="24" spans="1:23" x14ac:dyDescent="0.3">
      <c r="M24"/>
    </row>
    <row r="29" spans="1:23" x14ac:dyDescent="0.3">
      <c r="I29"/>
    </row>
    <row r="31" spans="1:23" x14ac:dyDescent="0.3">
      <c r="G31" s="6" t="s">
        <v>17</v>
      </c>
      <c r="S31" s="6" t="s">
        <v>17</v>
      </c>
    </row>
    <row r="32" spans="1:23" x14ac:dyDescent="0.3">
      <c r="A32" s="3"/>
      <c r="B32" s="3"/>
      <c r="C32" s="3" t="s">
        <v>1</v>
      </c>
      <c r="D32" s="3"/>
      <c r="E32" s="3"/>
      <c r="G32" s="3"/>
      <c r="H32" s="3"/>
      <c r="I32" s="3" t="s">
        <v>14</v>
      </c>
      <c r="J32" s="3"/>
      <c r="K32" s="8"/>
      <c r="M32" s="3"/>
      <c r="N32" s="3"/>
      <c r="O32" s="3" t="s">
        <v>1</v>
      </c>
      <c r="P32" s="3"/>
      <c r="Q32" s="3"/>
      <c r="S32" s="3"/>
      <c r="T32" s="3"/>
      <c r="U32" s="3" t="s">
        <v>14</v>
      </c>
      <c r="V32" s="3"/>
    </row>
    <row r="33" spans="1:22" x14ac:dyDescent="0.3">
      <c r="A33" s="3" t="s">
        <v>2</v>
      </c>
      <c r="B33" s="3" t="s">
        <v>3</v>
      </c>
      <c r="C33" s="3" t="s">
        <v>4</v>
      </c>
      <c r="D33" s="3" t="s">
        <v>5</v>
      </c>
      <c r="E33" s="3" t="s">
        <v>6</v>
      </c>
      <c r="G33" s="3"/>
      <c r="H33" s="3" t="s">
        <v>3</v>
      </c>
      <c r="I33" s="3" t="s">
        <v>4</v>
      </c>
      <c r="J33" s="3" t="s">
        <v>5</v>
      </c>
      <c r="K33" s="8"/>
      <c r="M33" s="3" t="s">
        <v>2</v>
      </c>
      <c r="N33" s="3" t="s">
        <v>3</v>
      </c>
      <c r="O33" s="3" t="s">
        <v>4</v>
      </c>
      <c r="P33" s="3" t="s">
        <v>5</v>
      </c>
      <c r="Q33" s="3" t="s">
        <v>6</v>
      </c>
      <c r="S33" s="3"/>
      <c r="T33" s="3" t="s">
        <v>3</v>
      </c>
      <c r="U33" s="3" t="s">
        <v>4</v>
      </c>
      <c r="V33" s="3" t="s">
        <v>5</v>
      </c>
    </row>
    <row r="34" spans="1:22" x14ac:dyDescent="0.3">
      <c r="A34" s="3" t="s">
        <v>3</v>
      </c>
      <c r="B34" s="7">
        <v>16</v>
      </c>
      <c r="C34" s="5">
        <v>6</v>
      </c>
      <c r="D34" s="5">
        <v>2</v>
      </c>
      <c r="E34" s="3">
        <f>SUM(B34:D34)</f>
        <v>24</v>
      </c>
      <c r="G34" s="3" t="s">
        <v>3</v>
      </c>
      <c r="H34" s="5">
        <v>0</v>
      </c>
      <c r="I34" s="5">
        <v>1</v>
      </c>
      <c r="J34" s="5">
        <v>4</v>
      </c>
      <c r="K34" s="9"/>
      <c r="M34" s="3" t="s">
        <v>3</v>
      </c>
      <c r="N34" s="7">
        <v>16</v>
      </c>
      <c r="O34" s="5">
        <v>6</v>
      </c>
      <c r="P34" s="5">
        <v>2</v>
      </c>
      <c r="Q34" s="3">
        <f>SUM(N34:P34)</f>
        <v>24</v>
      </c>
      <c r="S34" s="3" t="s">
        <v>3</v>
      </c>
      <c r="T34" s="5">
        <v>0</v>
      </c>
      <c r="U34" s="5">
        <v>0.25</v>
      </c>
      <c r="V34" s="5">
        <v>1</v>
      </c>
    </row>
    <row r="35" spans="1:22" x14ac:dyDescent="0.3">
      <c r="A35" s="3" t="s">
        <v>4</v>
      </c>
      <c r="B35" s="5">
        <v>4</v>
      </c>
      <c r="C35" s="7">
        <v>10</v>
      </c>
      <c r="D35" s="5">
        <v>1</v>
      </c>
      <c r="E35" s="3">
        <f>SUM(B35:D35)</f>
        <v>15</v>
      </c>
      <c r="G35" s="3" t="s">
        <v>4</v>
      </c>
      <c r="H35" s="5">
        <v>1</v>
      </c>
      <c r="I35" s="5">
        <v>0</v>
      </c>
      <c r="J35" s="5">
        <v>1</v>
      </c>
      <c r="K35" s="9"/>
      <c r="M35" s="3" t="s">
        <v>4</v>
      </c>
      <c r="N35" s="5">
        <v>4</v>
      </c>
      <c r="O35" s="7">
        <v>10</v>
      </c>
      <c r="P35" s="5">
        <v>1</v>
      </c>
      <c r="Q35" s="3">
        <f>SUM(N35:P35)</f>
        <v>15</v>
      </c>
      <c r="S35" s="3" t="s">
        <v>4</v>
      </c>
      <c r="T35" s="5">
        <v>0.25</v>
      </c>
      <c r="U35" s="5">
        <v>0</v>
      </c>
      <c r="V35" s="5">
        <v>0.25</v>
      </c>
    </row>
    <row r="36" spans="1:22" x14ac:dyDescent="0.3">
      <c r="A36" s="3" t="s">
        <v>5</v>
      </c>
      <c r="B36" s="5">
        <v>3</v>
      </c>
      <c r="C36" s="5">
        <v>0</v>
      </c>
      <c r="D36" s="7">
        <v>8</v>
      </c>
      <c r="E36" s="3">
        <f>SUM(B36:D36)</f>
        <v>11</v>
      </c>
      <c r="G36" s="3" t="s">
        <v>5</v>
      </c>
      <c r="H36" s="5">
        <v>4</v>
      </c>
      <c r="I36" s="5">
        <v>1</v>
      </c>
      <c r="J36" s="5">
        <v>0</v>
      </c>
      <c r="K36" s="9"/>
      <c r="M36" s="3" t="s">
        <v>5</v>
      </c>
      <c r="N36" s="5">
        <v>3</v>
      </c>
      <c r="O36" s="5">
        <v>0</v>
      </c>
      <c r="P36" s="7">
        <v>8</v>
      </c>
      <c r="Q36" s="3">
        <f>SUM(N36:P36)</f>
        <v>11</v>
      </c>
      <c r="S36" s="3" t="s">
        <v>5</v>
      </c>
      <c r="T36" s="5">
        <v>1</v>
      </c>
      <c r="U36" s="5">
        <v>0.25</v>
      </c>
      <c r="V36" s="5">
        <v>0</v>
      </c>
    </row>
    <row r="37" spans="1:22" x14ac:dyDescent="0.3">
      <c r="A37" s="3" t="s">
        <v>6</v>
      </c>
      <c r="B37" s="3">
        <f>SUM(B34:B36)</f>
        <v>23</v>
      </c>
      <c r="C37" s="3">
        <f>SUM(C34:C36)</f>
        <v>16</v>
      </c>
      <c r="D37" s="3">
        <f>SUM(D34:D36)</f>
        <v>11</v>
      </c>
      <c r="E37" s="3">
        <f>SUM(B37:D37)</f>
        <v>50</v>
      </c>
      <c r="K37" s="10"/>
      <c r="M37" s="3" t="s">
        <v>6</v>
      </c>
      <c r="N37" s="3">
        <f>SUM(N34:N36)</f>
        <v>23</v>
      </c>
      <c r="O37" s="3">
        <f>SUM(O34:O36)</f>
        <v>16</v>
      </c>
      <c r="P37" s="3">
        <f>SUM(P34:P36)</f>
        <v>11</v>
      </c>
      <c r="Q37" s="3">
        <f>SUM(N37:P37)</f>
        <v>50</v>
      </c>
    </row>
    <row r="39" spans="1:22" x14ac:dyDescent="0.3">
      <c r="A39" s="1" t="s">
        <v>15</v>
      </c>
      <c r="B39"/>
      <c r="M39" s="1" t="s">
        <v>15</v>
      </c>
      <c r="N39"/>
    </row>
    <row r="41" spans="1:22" x14ac:dyDescent="0.3">
      <c r="A41" s="3"/>
      <c r="B41" s="3"/>
      <c r="C41" s="3" t="s">
        <v>1</v>
      </c>
      <c r="D41" s="3"/>
      <c r="E41" s="3"/>
      <c r="M41" s="3"/>
      <c r="N41" s="3"/>
      <c r="O41" s="3" t="s">
        <v>1</v>
      </c>
      <c r="P41" s="3"/>
      <c r="Q41" s="3"/>
    </row>
    <row r="42" spans="1:22" x14ac:dyDescent="0.3">
      <c r="A42" s="3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G42" s="2" t="s">
        <v>9</v>
      </c>
      <c r="H42" s="2">
        <f>1-(J42/J43)</f>
        <v>0.50605481198215418</v>
      </c>
      <c r="J42" s="2">
        <f>SUMPRODUCT(B34:D36,H34:J36)</f>
        <v>31</v>
      </c>
      <c r="K42" s="2"/>
      <c r="M42" s="3" t="s">
        <v>2</v>
      </c>
      <c r="N42" s="3" t="s">
        <v>3</v>
      </c>
      <c r="O42" s="3" t="s">
        <v>4</v>
      </c>
      <c r="P42" s="3" t="s">
        <v>5</v>
      </c>
      <c r="Q42" s="3" t="s">
        <v>6</v>
      </c>
      <c r="S42" s="2" t="s">
        <v>9</v>
      </c>
      <c r="T42" s="2">
        <f>1-(V42/V43)</f>
        <v>0.50605481198215418</v>
      </c>
      <c r="V42" s="2">
        <f>SUMPRODUCT(N34:P36,T34:V36)</f>
        <v>7.75</v>
      </c>
    </row>
    <row r="43" spans="1:22" x14ac:dyDescent="0.3">
      <c r="A43" s="3" t="s">
        <v>3</v>
      </c>
      <c r="B43" s="7">
        <f t="shared" ref="B43:D44" si="4">B$10*$E34/$E$10</f>
        <v>11.04</v>
      </c>
      <c r="C43" s="5">
        <f t="shared" si="4"/>
        <v>7.68</v>
      </c>
      <c r="D43" s="5">
        <f t="shared" si="4"/>
        <v>5.28</v>
      </c>
      <c r="E43" s="3">
        <f>SUM(B43:D43)</f>
        <v>24</v>
      </c>
      <c r="J43" s="2">
        <f>SUMPRODUCT(B43:D45,H34:J36)</f>
        <v>62.76</v>
      </c>
      <c r="K43" s="2"/>
      <c r="M43" s="3" t="s">
        <v>3</v>
      </c>
      <c r="N43" s="7">
        <f t="shared" ref="N43:P44" si="5">N$10*$E34/$E$10</f>
        <v>11.04</v>
      </c>
      <c r="O43" s="5">
        <f t="shared" si="5"/>
        <v>7.68</v>
      </c>
      <c r="P43" s="5">
        <f t="shared" si="5"/>
        <v>5.28</v>
      </c>
      <c r="Q43" s="3">
        <f>SUM(N43:P43)</f>
        <v>24</v>
      </c>
      <c r="V43" s="2">
        <f>SUMPRODUCT(N43:P45,T34:V36)</f>
        <v>15.69</v>
      </c>
    </row>
    <row r="44" spans="1:22" x14ac:dyDescent="0.3">
      <c r="A44" s="3" t="s">
        <v>4</v>
      </c>
      <c r="B44" s="5">
        <f t="shared" si="4"/>
        <v>6.9</v>
      </c>
      <c r="C44" s="7">
        <f t="shared" si="4"/>
        <v>4.8</v>
      </c>
      <c r="D44" s="5">
        <f t="shared" si="4"/>
        <v>3.3</v>
      </c>
      <c r="E44" s="3">
        <f>SUM(B44:D44)</f>
        <v>15</v>
      </c>
      <c r="G44"/>
      <c r="M44" s="3" t="s">
        <v>4</v>
      </c>
      <c r="N44" s="5">
        <f t="shared" si="5"/>
        <v>6.9</v>
      </c>
      <c r="O44" s="7">
        <f t="shared" si="5"/>
        <v>4.8</v>
      </c>
      <c r="P44" s="5">
        <f t="shared" si="5"/>
        <v>3.3</v>
      </c>
      <c r="Q44" s="3">
        <f>SUM(N44:P44)</f>
        <v>15</v>
      </c>
      <c r="S44"/>
    </row>
    <row r="45" spans="1:22" x14ac:dyDescent="0.3">
      <c r="A45" s="3" t="s">
        <v>5</v>
      </c>
      <c r="B45" s="5">
        <f>B$10*$E36/$E$10</f>
        <v>5.0599999999999996</v>
      </c>
      <c r="C45" s="5">
        <f t="shared" ref="C45" si="6">C$10*$E36/$E$10</f>
        <v>3.52</v>
      </c>
      <c r="D45" s="7">
        <f>D$10*$E36/$E$10</f>
        <v>2.42</v>
      </c>
      <c r="E45" s="3">
        <f>SUM(B45:D45)</f>
        <v>11</v>
      </c>
      <c r="M45" s="3" t="s">
        <v>5</v>
      </c>
      <c r="N45" s="5">
        <f>N$10*$E36/$E$10</f>
        <v>5.0599999999999996</v>
      </c>
      <c r="O45" s="5">
        <f t="shared" ref="O45" si="7">O$10*$E36/$E$10</f>
        <v>3.52</v>
      </c>
      <c r="P45" s="7">
        <f>P$10*$E36/$E$10</f>
        <v>2.42</v>
      </c>
      <c r="Q45" s="3">
        <f>SUM(N45:P45)</f>
        <v>11</v>
      </c>
    </row>
    <row r="46" spans="1:22" x14ac:dyDescent="0.3">
      <c r="A46" s="3" t="s">
        <v>6</v>
      </c>
      <c r="B46" s="3">
        <f>SUM(B43:B45)</f>
        <v>22.999999999999996</v>
      </c>
      <c r="C46" s="3">
        <f>SUM(C43:C45)</f>
        <v>16</v>
      </c>
      <c r="D46" s="3">
        <f>SUM(D43:D45)</f>
        <v>11</v>
      </c>
      <c r="E46" s="3">
        <f>SUM(B46:D46)</f>
        <v>50</v>
      </c>
      <c r="G46"/>
      <c r="M46" s="3" t="s">
        <v>6</v>
      </c>
      <c r="N46" s="3">
        <f>SUM(N43:N45)</f>
        <v>22.999999999999996</v>
      </c>
      <c r="O46" s="3">
        <f>SUM(O43:O45)</f>
        <v>16</v>
      </c>
      <c r="P46" s="3">
        <f>SUM(P43:P45)</f>
        <v>11</v>
      </c>
      <c r="Q46" s="3">
        <f>SUM(N46:P46)</f>
        <v>50</v>
      </c>
      <c r="S46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1707-6901-47CD-8EC2-E39BFBEDE96D}">
  <dimension ref="A2:U46"/>
  <sheetViews>
    <sheetView topLeftCell="A7" workbookViewId="0">
      <selection activeCell="H42" sqref="H42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1" x14ac:dyDescent="0.3">
      <c r="A2" s="2"/>
      <c r="B2" s="1" t="s">
        <v>26</v>
      </c>
    </row>
    <row r="3" spans="1:21" x14ac:dyDescent="0.3">
      <c r="A3" s="2"/>
      <c r="B3" s="1" t="s">
        <v>27</v>
      </c>
    </row>
    <row r="4" spans="1:21" x14ac:dyDescent="0.3">
      <c r="G4" s="6" t="s">
        <v>16</v>
      </c>
      <c r="R4" s="6" t="s">
        <v>18</v>
      </c>
    </row>
    <row r="5" spans="1:21" x14ac:dyDescent="0.3">
      <c r="A5" s="3"/>
      <c r="B5" s="3"/>
      <c r="C5" s="3" t="s">
        <v>1</v>
      </c>
      <c r="D5" s="3"/>
      <c r="E5" s="3"/>
      <c r="G5" s="3"/>
      <c r="H5" s="3"/>
      <c r="I5" s="3" t="s">
        <v>14</v>
      </c>
      <c r="J5" s="3"/>
      <c r="L5" s="3"/>
      <c r="M5" s="3"/>
      <c r="N5" s="3" t="s">
        <v>1</v>
      </c>
      <c r="O5" s="3"/>
      <c r="P5" s="3"/>
      <c r="R5" s="3"/>
      <c r="S5" s="3"/>
      <c r="T5" s="3" t="s">
        <v>14</v>
      </c>
      <c r="U5" s="3"/>
    </row>
    <row r="6" spans="1:21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G6" s="3"/>
      <c r="H6" s="3" t="s">
        <v>3</v>
      </c>
      <c r="I6" s="3" t="s">
        <v>4</v>
      </c>
      <c r="J6" s="3" t="s">
        <v>5</v>
      </c>
      <c r="L6" s="3" t="s">
        <v>2</v>
      </c>
      <c r="M6" s="3" t="s">
        <v>3</v>
      </c>
      <c r="N6" s="3" t="s">
        <v>4</v>
      </c>
      <c r="O6" s="3" t="s">
        <v>5</v>
      </c>
      <c r="P6" s="3" t="s">
        <v>6</v>
      </c>
      <c r="R6" s="3"/>
      <c r="S6" s="3" t="s">
        <v>3</v>
      </c>
      <c r="T6" s="3" t="s">
        <v>4</v>
      </c>
      <c r="U6" s="3" t="s">
        <v>5</v>
      </c>
    </row>
    <row r="7" spans="1:21" x14ac:dyDescent="0.3">
      <c r="A7" s="3" t="s">
        <v>3</v>
      </c>
      <c r="B7" s="7">
        <v>30</v>
      </c>
      <c r="C7" s="5">
        <v>6</v>
      </c>
      <c r="D7" s="5">
        <v>2</v>
      </c>
      <c r="E7" s="3">
        <f>SUM(B7:D7)</f>
        <v>38</v>
      </c>
      <c r="G7" s="3" t="s">
        <v>3</v>
      </c>
      <c r="H7" s="5">
        <v>0</v>
      </c>
      <c r="I7" s="5">
        <v>1</v>
      </c>
      <c r="J7" s="5">
        <v>2</v>
      </c>
      <c r="L7" s="3" t="s">
        <v>3</v>
      </c>
      <c r="M7" s="7">
        <f>B7</f>
        <v>30</v>
      </c>
      <c r="N7" s="5">
        <f t="shared" ref="N7:O7" si="0">C7</f>
        <v>6</v>
      </c>
      <c r="O7" s="5">
        <f t="shared" si="0"/>
        <v>2</v>
      </c>
      <c r="P7" s="3">
        <f>SUM(M7:O7)</f>
        <v>38</v>
      </c>
      <c r="R7" s="3" t="s">
        <v>3</v>
      </c>
      <c r="S7" s="5">
        <v>0</v>
      </c>
      <c r="T7" s="5">
        <v>1</v>
      </c>
      <c r="U7" s="5">
        <v>1</v>
      </c>
    </row>
    <row r="8" spans="1:21" x14ac:dyDescent="0.3">
      <c r="A8" s="3" t="s">
        <v>4</v>
      </c>
      <c r="B8" s="5">
        <v>4</v>
      </c>
      <c r="C8" s="7">
        <v>2</v>
      </c>
      <c r="D8" s="5">
        <v>1</v>
      </c>
      <c r="E8" s="3">
        <f>SUM(B8:D8)</f>
        <v>7</v>
      </c>
      <c r="G8" s="3" t="s">
        <v>4</v>
      </c>
      <c r="H8" s="5">
        <v>1</v>
      </c>
      <c r="I8" s="5">
        <v>0</v>
      </c>
      <c r="J8" s="5">
        <v>1</v>
      </c>
      <c r="L8" s="3" t="s">
        <v>4</v>
      </c>
      <c r="M8" s="5">
        <f t="shared" ref="M8:M9" si="1">B8</f>
        <v>4</v>
      </c>
      <c r="N8" s="7">
        <f t="shared" ref="N8:N9" si="2">C8</f>
        <v>2</v>
      </c>
      <c r="O8" s="5">
        <f t="shared" ref="O8:O9" si="3">D8</f>
        <v>1</v>
      </c>
      <c r="P8" s="5">
        <f>SUM(M8:O8)</f>
        <v>7</v>
      </c>
      <c r="R8" s="3" t="s">
        <v>4</v>
      </c>
      <c r="S8" s="5">
        <v>1</v>
      </c>
      <c r="T8" s="5">
        <v>0</v>
      </c>
      <c r="U8" s="5">
        <v>1</v>
      </c>
    </row>
    <row r="9" spans="1:21" x14ac:dyDescent="0.3">
      <c r="A9" s="3" t="s">
        <v>5</v>
      </c>
      <c r="B9" s="5">
        <v>3</v>
      </c>
      <c r="C9" s="5">
        <v>0</v>
      </c>
      <c r="D9" s="7">
        <v>2</v>
      </c>
      <c r="E9" s="3">
        <f>SUM(B9:D9)</f>
        <v>5</v>
      </c>
      <c r="G9" s="3" t="s">
        <v>5</v>
      </c>
      <c r="H9" s="5">
        <v>2</v>
      </c>
      <c r="I9" s="5">
        <v>1</v>
      </c>
      <c r="J9" s="5">
        <v>0</v>
      </c>
      <c r="L9" s="3" t="s">
        <v>5</v>
      </c>
      <c r="M9" s="5">
        <f t="shared" si="1"/>
        <v>3</v>
      </c>
      <c r="N9" s="5">
        <f t="shared" si="2"/>
        <v>0</v>
      </c>
      <c r="O9" s="7">
        <f t="shared" si="3"/>
        <v>2</v>
      </c>
      <c r="P9" s="3">
        <f>SUM(M9:O9)</f>
        <v>5</v>
      </c>
      <c r="R9" s="3" t="s">
        <v>5</v>
      </c>
      <c r="S9" s="5">
        <v>1</v>
      </c>
      <c r="T9" s="5">
        <v>1</v>
      </c>
      <c r="U9" s="5">
        <v>0</v>
      </c>
    </row>
    <row r="10" spans="1:21" x14ac:dyDescent="0.3">
      <c r="A10" s="3" t="s">
        <v>6</v>
      </c>
      <c r="B10" s="3">
        <f>SUM(B7:B9)</f>
        <v>37</v>
      </c>
      <c r="C10" s="3">
        <f>SUM(C7:C9)</f>
        <v>8</v>
      </c>
      <c r="D10" s="3">
        <f>SUM(D7:D9)</f>
        <v>5</v>
      </c>
      <c r="E10" s="3">
        <f>SUM(B10:D10)</f>
        <v>50</v>
      </c>
      <c r="L10" s="3" t="s">
        <v>6</v>
      </c>
      <c r="M10" s="3">
        <f>SUM(M7:M9)</f>
        <v>37</v>
      </c>
      <c r="N10" s="3">
        <f>SUM(N7:N9)</f>
        <v>8</v>
      </c>
      <c r="O10" s="3">
        <f>SUM(O7:O9)</f>
        <v>5</v>
      </c>
      <c r="P10" s="3">
        <f>SUM(M10:O10)</f>
        <v>50</v>
      </c>
    </row>
    <row r="12" spans="1:21" x14ac:dyDescent="0.3">
      <c r="A12" s="1" t="s">
        <v>15</v>
      </c>
      <c r="B12"/>
      <c r="L12" s="1" t="s">
        <v>15</v>
      </c>
      <c r="M12"/>
    </row>
    <row r="14" spans="1:21" x14ac:dyDescent="0.3">
      <c r="A14" s="3"/>
      <c r="B14" s="3"/>
      <c r="C14" s="3" t="s">
        <v>1</v>
      </c>
      <c r="D14" s="3"/>
      <c r="E14" s="3"/>
      <c r="L14" s="3"/>
      <c r="M14" s="3"/>
      <c r="N14" s="3" t="s">
        <v>1</v>
      </c>
      <c r="O14" s="3"/>
      <c r="P14" s="3"/>
    </row>
    <row r="15" spans="1:21" x14ac:dyDescent="0.3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G15" s="2" t="s">
        <v>9</v>
      </c>
      <c r="H15" s="2">
        <f>1-(J15/J16)</f>
        <v>0.24351585014409227</v>
      </c>
      <c r="J15" s="2">
        <f>SUMPRODUCT(B7:D9,H7:J9)</f>
        <v>21</v>
      </c>
      <c r="L15" s="3" t="s">
        <v>2</v>
      </c>
      <c r="M15" s="3" t="s">
        <v>3</v>
      </c>
      <c r="N15" s="3" t="s">
        <v>4</v>
      </c>
      <c r="O15" s="3" t="s">
        <v>5</v>
      </c>
      <c r="P15" s="3" t="s">
        <v>6</v>
      </c>
      <c r="R15" s="2" t="s">
        <v>9</v>
      </c>
      <c r="S15" s="2">
        <f>1-(U15/U16)</f>
        <v>0.21026653504442239</v>
      </c>
      <c r="U15" s="2">
        <f>SUMPRODUCT(M7:O9,S7:U9)</f>
        <v>16</v>
      </c>
    </row>
    <row r="16" spans="1:21" x14ac:dyDescent="0.3">
      <c r="A16" s="3" t="s">
        <v>3</v>
      </c>
      <c r="B16" s="7">
        <f t="shared" ref="B16:D17" si="4">B$10*$E7/$E$10</f>
        <v>28.12</v>
      </c>
      <c r="C16" s="5">
        <f t="shared" si="4"/>
        <v>6.08</v>
      </c>
      <c r="D16" s="5">
        <f t="shared" si="4"/>
        <v>3.8</v>
      </c>
      <c r="E16" s="3">
        <f>SUM(B16:D16)</f>
        <v>38</v>
      </c>
      <c r="J16" s="2">
        <f>SUMPRODUCT(B16:D18,H7:J9)</f>
        <v>27.76</v>
      </c>
      <c r="L16" s="3" t="s">
        <v>3</v>
      </c>
      <c r="M16" s="7">
        <f t="shared" ref="M16:O18" si="5">M$10*$P7/$P$10</f>
        <v>28.12</v>
      </c>
      <c r="N16" s="5">
        <f t="shared" si="5"/>
        <v>6.08</v>
      </c>
      <c r="O16" s="5">
        <f t="shared" si="5"/>
        <v>3.8</v>
      </c>
      <c r="P16" s="3">
        <f>SUM(M16:O16)</f>
        <v>38</v>
      </c>
      <c r="U16" s="2">
        <f>SUMPRODUCT(M16:O18,S7:U9)</f>
        <v>20.259999999999998</v>
      </c>
    </row>
    <row r="17" spans="1:21" x14ac:dyDescent="0.3">
      <c r="A17" s="3" t="s">
        <v>4</v>
      </c>
      <c r="B17" s="5">
        <f t="shared" si="4"/>
        <v>5.18</v>
      </c>
      <c r="C17" s="7">
        <f t="shared" si="4"/>
        <v>1.1200000000000001</v>
      </c>
      <c r="D17" s="5">
        <f t="shared" si="4"/>
        <v>0.7</v>
      </c>
      <c r="E17" s="3">
        <f>SUM(B17:D17)</f>
        <v>7</v>
      </c>
      <c r="G17"/>
      <c r="L17" s="3" t="s">
        <v>4</v>
      </c>
      <c r="M17" s="5">
        <f t="shared" si="5"/>
        <v>5.18</v>
      </c>
      <c r="N17" s="7">
        <f t="shared" si="5"/>
        <v>1.1200000000000001</v>
      </c>
      <c r="O17" s="5">
        <f t="shared" si="5"/>
        <v>0.7</v>
      </c>
      <c r="P17" s="3">
        <f>SUM(M17:O17)</f>
        <v>7</v>
      </c>
    </row>
    <row r="18" spans="1:21" x14ac:dyDescent="0.3">
      <c r="A18" s="3" t="s">
        <v>5</v>
      </c>
      <c r="B18" s="5">
        <f>B$10*$E9/$E$10</f>
        <v>3.7</v>
      </c>
      <c r="C18" s="5">
        <f t="shared" ref="C18" si="6">C$10*$E9/$E$10</f>
        <v>0.8</v>
      </c>
      <c r="D18" s="7">
        <f>D$10*$E9/$E$10</f>
        <v>0.5</v>
      </c>
      <c r="E18" s="3">
        <f>SUM(B18:D18)</f>
        <v>5</v>
      </c>
      <c r="L18" s="3" t="s">
        <v>5</v>
      </c>
      <c r="M18" s="5">
        <f t="shared" si="5"/>
        <v>3.7</v>
      </c>
      <c r="N18" s="5">
        <f t="shared" si="5"/>
        <v>0.8</v>
      </c>
      <c r="O18" s="7">
        <f t="shared" si="5"/>
        <v>0.5</v>
      </c>
      <c r="P18" s="3">
        <f>SUM(M18:O18)</f>
        <v>5</v>
      </c>
    </row>
    <row r="19" spans="1:21" x14ac:dyDescent="0.3">
      <c r="A19" s="3" t="s">
        <v>6</v>
      </c>
      <c r="B19" s="3">
        <f>SUM(B16:B18)</f>
        <v>37</v>
      </c>
      <c r="C19" s="3">
        <f>SUM(C16:C18)</f>
        <v>8</v>
      </c>
      <c r="D19" s="3">
        <f>SUM(D16:D18)</f>
        <v>5</v>
      </c>
      <c r="E19" s="3">
        <f>SUM(B19:D19)</f>
        <v>50</v>
      </c>
      <c r="G19"/>
      <c r="L19" s="3" t="s">
        <v>6</v>
      </c>
      <c r="M19" s="3">
        <f>SUM(M16:M18)</f>
        <v>37</v>
      </c>
      <c r="N19" s="3">
        <f>SUM(N16:N18)</f>
        <v>8</v>
      </c>
      <c r="O19" s="3">
        <f>SUM(O16:O18)</f>
        <v>5</v>
      </c>
      <c r="P19" s="3">
        <f>SUM(M19:O19)</f>
        <v>50</v>
      </c>
    </row>
    <row r="20" spans="1:21" x14ac:dyDescent="0.3">
      <c r="I20"/>
    </row>
    <row r="23" spans="1:21" x14ac:dyDescent="0.3">
      <c r="L23"/>
    </row>
    <row r="24" spans="1:21" x14ac:dyDescent="0.3">
      <c r="L24"/>
    </row>
    <row r="29" spans="1:21" x14ac:dyDescent="0.3">
      <c r="I29"/>
    </row>
    <row r="31" spans="1:21" x14ac:dyDescent="0.3">
      <c r="G31" s="6" t="s">
        <v>17</v>
      </c>
      <c r="R31" s="6" t="s">
        <v>17</v>
      </c>
    </row>
    <row r="32" spans="1:21" x14ac:dyDescent="0.3">
      <c r="A32" s="3"/>
      <c r="B32" s="3"/>
      <c r="C32" s="3" t="s">
        <v>1</v>
      </c>
      <c r="D32" s="3"/>
      <c r="E32" s="3"/>
      <c r="G32" s="3"/>
      <c r="H32" s="3"/>
      <c r="I32" s="3" t="s">
        <v>14</v>
      </c>
      <c r="J32" s="3"/>
      <c r="L32" s="3"/>
      <c r="M32" s="3"/>
      <c r="N32" s="3" t="s">
        <v>1</v>
      </c>
      <c r="O32" s="3"/>
      <c r="P32" s="3"/>
      <c r="R32" s="3"/>
      <c r="S32" s="3"/>
      <c r="T32" s="3" t="s">
        <v>14</v>
      </c>
      <c r="U32" s="3"/>
    </row>
    <row r="33" spans="1:21" x14ac:dyDescent="0.3">
      <c r="A33" s="3" t="s">
        <v>2</v>
      </c>
      <c r="B33" s="3" t="s">
        <v>3</v>
      </c>
      <c r="C33" s="3" t="s">
        <v>4</v>
      </c>
      <c r="D33" s="3" t="s">
        <v>5</v>
      </c>
      <c r="E33" s="3" t="s">
        <v>6</v>
      </c>
      <c r="G33" s="3"/>
      <c r="H33" s="3" t="s">
        <v>3</v>
      </c>
      <c r="I33" s="3" t="s">
        <v>4</v>
      </c>
      <c r="J33" s="3" t="s">
        <v>5</v>
      </c>
      <c r="L33" s="3" t="s">
        <v>2</v>
      </c>
      <c r="M33" s="3" t="s">
        <v>3</v>
      </c>
      <c r="N33" s="3" t="s">
        <v>4</v>
      </c>
      <c r="O33" s="3" t="s">
        <v>5</v>
      </c>
      <c r="P33" s="3" t="s">
        <v>6</v>
      </c>
      <c r="R33" s="3"/>
      <c r="S33" s="3" t="s">
        <v>3</v>
      </c>
      <c r="T33" s="3" t="s">
        <v>4</v>
      </c>
      <c r="U33" s="3" t="s">
        <v>5</v>
      </c>
    </row>
    <row r="34" spans="1:21" x14ac:dyDescent="0.3">
      <c r="A34" s="3" t="s">
        <v>3</v>
      </c>
      <c r="B34" s="7">
        <f>B7</f>
        <v>30</v>
      </c>
      <c r="C34" s="5">
        <f t="shared" ref="C34:D34" si="7">C7</f>
        <v>6</v>
      </c>
      <c r="D34" s="5">
        <f t="shared" si="7"/>
        <v>2</v>
      </c>
      <c r="E34" s="3">
        <f>SUM(B34:D34)</f>
        <v>38</v>
      </c>
      <c r="G34" s="3" t="s">
        <v>3</v>
      </c>
      <c r="H34" s="5">
        <v>0</v>
      </c>
      <c r="I34" s="5">
        <v>1</v>
      </c>
      <c r="J34" s="5">
        <v>4</v>
      </c>
      <c r="L34" s="3" t="s">
        <v>3</v>
      </c>
      <c r="M34" s="7">
        <f>B7</f>
        <v>30</v>
      </c>
      <c r="N34" s="5">
        <f t="shared" ref="N34:O36" si="8">C7</f>
        <v>6</v>
      </c>
      <c r="O34" s="5">
        <f t="shared" si="8"/>
        <v>2</v>
      </c>
      <c r="P34" s="3">
        <f>SUM(M34:O34)</f>
        <v>38</v>
      </c>
      <c r="R34" s="3" t="s">
        <v>3</v>
      </c>
      <c r="S34" s="5">
        <v>0</v>
      </c>
      <c r="T34" s="5">
        <v>0.25</v>
      </c>
      <c r="U34" s="5">
        <v>1</v>
      </c>
    </row>
    <row r="35" spans="1:21" x14ac:dyDescent="0.3">
      <c r="A35" s="3" t="s">
        <v>4</v>
      </c>
      <c r="B35" s="5">
        <f t="shared" ref="B35:D36" si="9">B8</f>
        <v>4</v>
      </c>
      <c r="C35" s="7">
        <f t="shared" si="9"/>
        <v>2</v>
      </c>
      <c r="D35" s="5">
        <f t="shared" si="9"/>
        <v>1</v>
      </c>
      <c r="E35" s="3">
        <f>SUM(B35:D35)</f>
        <v>7</v>
      </c>
      <c r="G35" s="3" t="s">
        <v>4</v>
      </c>
      <c r="H35" s="5">
        <v>1</v>
      </c>
      <c r="I35" s="5">
        <v>0</v>
      </c>
      <c r="J35" s="5">
        <v>1</v>
      </c>
      <c r="L35" s="3" t="s">
        <v>4</v>
      </c>
      <c r="M35" s="5">
        <f t="shared" ref="M35:M36" si="10">B8</f>
        <v>4</v>
      </c>
      <c r="N35" s="7">
        <f t="shared" si="8"/>
        <v>2</v>
      </c>
      <c r="O35" s="5">
        <f t="shared" si="8"/>
        <v>1</v>
      </c>
      <c r="P35" s="3">
        <f>SUM(M35:O35)</f>
        <v>7</v>
      </c>
      <c r="R35" s="3" t="s">
        <v>4</v>
      </c>
      <c r="S35" s="5">
        <v>0.25</v>
      </c>
      <c r="T35" s="5">
        <v>0</v>
      </c>
      <c r="U35" s="5">
        <v>0.25</v>
      </c>
    </row>
    <row r="36" spans="1:21" x14ac:dyDescent="0.3">
      <c r="A36" s="3" t="s">
        <v>5</v>
      </c>
      <c r="B36" s="5">
        <f t="shared" si="9"/>
        <v>3</v>
      </c>
      <c r="C36" s="5">
        <f t="shared" si="9"/>
        <v>0</v>
      </c>
      <c r="D36" s="7">
        <f t="shared" si="9"/>
        <v>2</v>
      </c>
      <c r="E36" s="3">
        <f>SUM(B36:D36)</f>
        <v>5</v>
      </c>
      <c r="G36" s="3" t="s">
        <v>5</v>
      </c>
      <c r="H36" s="5">
        <v>4</v>
      </c>
      <c r="I36" s="5">
        <v>1</v>
      </c>
      <c r="J36" s="5">
        <v>0</v>
      </c>
      <c r="L36" s="3" t="s">
        <v>5</v>
      </c>
      <c r="M36" s="5">
        <f t="shared" si="10"/>
        <v>3</v>
      </c>
      <c r="N36" s="5">
        <f t="shared" si="8"/>
        <v>0</v>
      </c>
      <c r="O36" s="7">
        <f t="shared" si="8"/>
        <v>2</v>
      </c>
      <c r="P36" s="3">
        <f>SUM(M36:O36)</f>
        <v>5</v>
      </c>
      <c r="R36" s="3" t="s">
        <v>5</v>
      </c>
      <c r="S36" s="5">
        <v>1</v>
      </c>
      <c r="T36" s="5">
        <v>0.25</v>
      </c>
      <c r="U36" s="5">
        <v>0</v>
      </c>
    </row>
    <row r="37" spans="1:21" x14ac:dyDescent="0.3">
      <c r="A37" s="3" t="s">
        <v>6</v>
      </c>
      <c r="B37" s="3">
        <f>SUM(B34:B36)</f>
        <v>37</v>
      </c>
      <c r="C37" s="3">
        <f>SUM(C34:C36)</f>
        <v>8</v>
      </c>
      <c r="D37" s="3">
        <f>SUM(D34:D36)</f>
        <v>5</v>
      </c>
      <c r="E37" s="3">
        <f>SUM(B37:D37)</f>
        <v>50</v>
      </c>
      <c r="L37" s="3" t="s">
        <v>6</v>
      </c>
      <c r="M37" s="3">
        <f>SUM(M34:M36)</f>
        <v>37</v>
      </c>
      <c r="N37" s="3">
        <f>SUM(N34:N36)</f>
        <v>8</v>
      </c>
      <c r="O37" s="3">
        <f>SUM(O34:O36)</f>
        <v>5</v>
      </c>
      <c r="P37" s="3">
        <f>SUM(M37:O37)</f>
        <v>50</v>
      </c>
    </row>
    <row r="39" spans="1:21" x14ac:dyDescent="0.3">
      <c r="A39" s="1" t="s">
        <v>15</v>
      </c>
      <c r="B39"/>
      <c r="L39" s="1" t="s">
        <v>15</v>
      </c>
      <c r="M39"/>
    </row>
    <row r="41" spans="1:21" x14ac:dyDescent="0.3">
      <c r="A41" s="3"/>
      <c r="B41" s="3"/>
      <c r="C41" s="3" t="s">
        <v>1</v>
      </c>
      <c r="D41" s="3"/>
      <c r="E41" s="3"/>
      <c r="L41" s="3"/>
      <c r="M41" s="3"/>
      <c r="N41" s="3" t="s">
        <v>1</v>
      </c>
      <c r="O41" s="3"/>
      <c r="P41" s="3"/>
    </row>
    <row r="42" spans="1:21" x14ac:dyDescent="0.3">
      <c r="A42" s="3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G42" s="2" t="s">
        <v>9</v>
      </c>
      <c r="H42" s="2">
        <f>1-(J42/J43)</f>
        <v>0.275023386342376</v>
      </c>
      <c r="J42" s="2">
        <f>SUMPRODUCT(B34:D36,H34:J36)</f>
        <v>31</v>
      </c>
      <c r="L42" s="3" t="s">
        <v>2</v>
      </c>
      <c r="M42" s="3" t="s">
        <v>3</v>
      </c>
      <c r="N42" s="3" t="s">
        <v>4</v>
      </c>
      <c r="O42" s="3" t="s">
        <v>5</v>
      </c>
      <c r="P42" s="3" t="s">
        <v>6</v>
      </c>
      <c r="R42" s="2" t="s">
        <v>9</v>
      </c>
      <c r="S42" s="2">
        <f>1-(U42/U43)</f>
        <v>0.275023386342376</v>
      </c>
      <c r="U42" s="2">
        <f>SUMPRODUCT(M34:O36,S34:U36)</f>
        <v>7.75</v>
      </c>
    </row>
    <row r="43" spans="1:21" x14ac:dyDescent="0.3">
      <c r="A43" s="3" t="s">
        <v>3</v>
      </c>
      <c r="B43" s="7">
        <f t="shared" ref="B43:D44" si="11">B$10*$E34/$E$10</f>
        <v>28.12</v>
      </c>
      <c r="C43" s="5">
        <f t="shared" si="11"/>
        <v>6.08</v>
      </c>
      <c r="D43" s="5">
        <f t="shared" si="11"/>
        <v>3.8</v>
      </c>
      <c r="E43" s="3">
        <f>SUM(B43:D43)</f>
        <v>38</v>
      </c>
      <c r="J43" s="2">
        <f>SUMPRODUCT(B43:D45,H34:J36)</f>
        <v>42.76</v>
      </c>
      <c r="L43" s="3" t="s">
        <v>3</v>
      </c>
      <c r="M43" s="5">
        <f t="shared" ref="M43:O45" si="12">M$10*$P34/$P$10</f>
        <v>28.12</v>
      </c>
      <c r="N43" s="5">
        <f t="shared" si="12"/>
        <v>6.08</v>
      </c>
      <c r="O43" s="5">
        <f t="shared" si="12"/>
        <v>3.8</v>
      </c>
      <c r="P43" s="3">
        <f>SUM(M43:O43)</f>
        <v>38</v>
      </c>
      <c r="U43" s="2">
        <f>SUMPRODUCT(M43:O45,S34:U36)</f>
        <v>10.69</v>
      </c>
    </row>
    <row r="44" spans="1:21" x14ac:dyDescent="0.3">
      <c r="A44" s="3" t="s">
        <v>4</v>
      </c>
      <c r="B44" s="5">
        <f t="shared" si="11"/>
        <v>5.18</v>
      </c>
      <c r="C44" s="7">
        <f t="shared" si="11"/>
        <v>1.1200000000000001</v>
      </c>
      <c r="D44" s="5">
        <f t="shared" si="11"/>
        <v>0.7</v>
      </c>
      <c r="E44" s="3">
        <f>SUM(B44:D44)</f>
        <v>7</v>
      </c>
      <c r="G44"/>
      <c r="L44" s="3" t="s">
        <v>4</v>
      </c>
      <c r="M44" s="5">
        <f t="shared" si="12"/>
        <v>5.18</v>
      </c>
      <c r="N44" s="5">
        <f t="shared" si="12"/>
        <v>1.1200000000000001</v>
      </c>
      <c r="O44" s="5">
        <f t="shared" si="12"/>
        <v>0.7</v>
      </c>
      <c r="P44" s="3">
        <f>SUM(M44:O44)</f>
        <v>7</v>
      </c>
      <c r="R44"/>
    </row>
    <row r="45" spans="1:21" x14ac:dyDescent="0.3">
      <c r="A45" s="3" t="s">
        <v>5</v>
      </c>
      <c r="B45" s="5">
        <f>B$10*$E36/$E$10</f>
        <v>3.7</v>
      </c>
      <c r="C45" s="5">
        <f t="shared" ref="C45" si="13">C$10*$E36/$E$10</f>
        <v>0.8</v>
      </c>
      <c r="D45" s="7">
        <f>D$10*$E36/$E$10</f>
        <v>0.5</v>
      </c>
      <c r="E45" s="3">
        <f>SUM(B45:D45)</f>
        <v>5</v>
      </c>
      <c r="L45" s="3" t="s">
        <v>5</v>
      </c>
      <c r="M45" s="5">
        <f t="shared" si="12"/>
        <v>3.7</v>
      </c>
      <c r="N45" s="5">
        <f t="shared" si="12"/>
        <v>0.8</v>
      </c>
      <c r="O45" s="5">
        <f t="shared" si="12"/>
        <v>0.5</v>
      </c>
      <c r="P45" s="3">
        <f>SUM(M45:O45)</f>
        <v>5</v>
      </c>
      <c r="T45" s="1" t="s">
        <v>28</v>
      </c>
      <c r="U45" s="1">
        <f>1-(U42/U43)</f>
        <v>0.275023386342376</v>
      </c>
    </row>
    <row r="46" spans="1:21" x14ac:dyDescent="0.3">
      <c r="A46" s="3" t="s">
        <v>6</v>
      </c>
      <c r="B46" s="3">
        <f>SUM(B43:B45)</f>
        <v>37</v>
      </c>
      <c r="C46" s="3">
        <f>SUM(C43:C45)</f>
        <v>8</v>
      </c>
      <c r="D46" s="3">
        <f>SUM(D43:D45)</f>
        <v>5</v>
      </c>
      <c r="E46" s="3">
        <f>SUM(B46:D46)</f>
        <v>50</v>
      </c>
      <c r="G46"/>
      <c r="L46" s="3" t="s">
        <v>6</v>
      </c>
      <c r="M46" s="3">
        <f>SUM(M43:M45)</f>
        <v>37</v>
      </c>
      <c r="N46" s="3">
        <f>SUM(N43:N45)</f>
        <v>8</v>
      </c>
      <c r="O46" s="3">
        <f>SUM(O43:O45)</f>
        <v>5</v>
      </c>
      <c r="P46" s="3">
        <f>SUM(M46:O46)</f>
        <v>50</v>
      </c>
      <c r="R4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9577-A430-4560-B8E5-FB7654CABFD3}">
  <dimension ref="A2:Z50"/>
  <sheetViews>
    <sheetView topLeftCell="A10" workbookViewId="0">
      <selection activeCell="G13" sqref="G13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5" x14ac:dyDescent="0.3">
      <c r="A2" s="2"/>
    </row>
    <row r="3" spans="1:25" x14ac:dyDescent="0.3">
      <c r="A3" s="2" t="s">
        <v>21</v>
      </c>
      <c r="M3" s="2"/>
      <c r="N3" s="2" t="s">
        <v>21</v>
      </c>
    </row>
    <row r="4" spans="1:25" x14ac:dyDescent="0.3">
      <c r="H4" s="6" t="s">
        <v>16</v>
      </c>
      <c r="U4" s="6" t="s">
        <v>18</v>
      </c>
    </row>
    <row r="5" spans="1:25" x14ac:dyDescent="0.3">
      <c r="A5" s="3"/>
      <c r="B5" s="3"/>
      <c r="C5" s="3" t="s">
        <v>1</v>
      </c>
      <c r="D5" s="3"/>
      <c r="E5" s="3"/>
      <c r="F5" s="3"/>
      <c r="H5" s="3"/>
      <c r="I5" s="3"/>
      <c r="J5" s="3" t="s">
        <v>14</v>
      </c>
      <c r="K5" s="3"/>
      <c r="L5" s="3"/>
      <c r="N5" s="3"/>
      <c r="O5" s="3"/>
      <c r="P5" s="3" t="s">
        <v>1</v>
      </c>
      <c r="Q5" s="3"/>
      <c r="R5" s="3"/>
      <c r="S5" s="3"/>
      <c r="U5" s="3"/>
      <c r="V5" s="3"/>
      <c r="W5" s="3" t="s">
        <v>14</v>
      </c>
      <c r="X5" s="3"/>
      <c r="Y5" s="3"/>
    </row>
    <row r="6" spans="1:25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6</v>
      </c>
      <c r="H6" s="3"/>
      <c r="I6" s="3" t="s">
        <v>3</v>
      </c>
      <c r="J6" s="3" t="s">
        <v>4</v>
      </c>
      <c r="K6" s="3" t="s">
        <v>5</v>
      </c>
      <c r="L6" s="3" t="s">
        <v>29</v>
      </c>
      <c r="N6" s="3" t="s">
        <v>2</v>
      </c>
      <c r="O6" s="3" t="s">
        <v>3</v>
      </c>
      <c r="P6" s="3" t="s">
        <v>4</v>
      </c>
      <c r="Q6" s="3" t="s">
        <v>5</v>
      </c>
      <c r="R6" s="3" t="s">
        <v>29</v>
      </c>
      <c r="S6" s="3" t="s">
        <v>6</v>
      </c>
      <c r="U6" s="3"/>
      <c r="V6" s="3" t="s">
        <v>3</v>
      </c>
      <c r="W6" s="3" t="s">
        <v>4</v>
      </c>
      <c r="X6" s="3" t="s">
        <v>5</v>
      </c>
      <c r="Y6" s="3" t="s">
        <v>29</v>
      </c>
    </row>
    <row r="7" spans="1:25" x14ac:dyDescent="0.3">
      <c r="A7" s="3" t="s">
        <v>3</v>
      </c>
      <c r="B7" s="7">
        <v>9</v>
      </c>
      <c r="C7" s="5">
        <v>4</v>
      </c>
      <c r="D7" s="5">
        <v>2</v>
      </c>
      <c r="E7" s="5">
        <v>1</v>
      </c>
      <c r="F7" s="3">
        <f>SUM(B7:E7)</f>
        <v>16</v>
      </c>
      <c r="H7" s="3" t="s">
        <v>3</v>
      </c>
      <c r="I7" s="5">
        <v>0</v>
      </c>
      <c r="J7" s="5">
        <v>1</v>
      </c>
      <c r="K7" s="5">
        <v>2</v>
      </c>
      <c r="L7" s="5">
        <v>3</v>
      </c>
      <c r="N7" s="3" t="s">
        <v>3</v>
      </c>
      <c r="O7" s="7">
        <f>B7</f>
        <v>9</v>
      </c>
      <c r="P7" s="5">
        <f t="shared" ref="P7:R7" si="0">C7</f>
        <v>4</v>
      </c>
      <c r="Q7" s="5">
        <f t="shared" si="0"/>
        <v>2</v>
      </c>
      <c r="R7" s="5">
        <f t="shared" si="0"/>
        <v>1</v>
      </c>
      <c r="S7" s="3">
        <f>SUM(O7:R7)</f>
        <v>16</v>
      </c>
      <c r="U7" s="3" t="s">
        <v>3</v>
      </c>
      <c r="V7" s="5">
        <v>0</v>
      </c>
      <c r="W7" s="5">
        <v>1</v>
      </c>
      <c r="X7" s="5">
        <v>1</v>
      </c>
      <c r="Y7" s="5">
        <v>1</v>
      </c>
    </row>
    <row r="8" spans="1:25" x14ac:dyDescent="0.3">
      <c r="A8" s="3" t="s">
        <v>4</v>
      </c>
      <c r="B8" s="5">
        <v>4</v>
      </c>
      <c r="C8" s="7">
        <v>6</v>
      </c>
      <c r="D8" s="5">
        <v>1</v>
      </c>
      <c r="E8" s="5">
        <v>2</v>
      </c>
      <c r="F8" s="3">
        <f t="shared" ref="F8:F10" si="1">SUM(B8:E8)</f>
        <v>13</v>
      </c>
      <c r="H8" s="3" t="s">
        <v>4</v>
      </c>
      <c r="I8" s="5">
        <v>1</v>
      </c>
      <c r="J8" s="5">
        <v>0</v>
      </c>
      <c r="K8" s="5">
        <v>1</v>
      </c>
      <c r="L8" s="5">
        <v>2</v>
      </c>
      <c r="N8" s="3" t="s">
        <v>4</v>
      </c>
      <c r="O8" s="5">
        <f t="shared" ref="O8:O10" si="2">B8</f>
        <v>4</v>
      </c>
      <c r="P8" s="7">
        <f t="shared" ref="P8:P10" si="3">C8</f>
        <v>6</v>
      </c>
      <c r="Q8" s="5">
        <f t="shared" ref="Q8:Q10" si="4">D8</f>
        <v>1</v>
      </c>
      <c r="R8" s="5">
        <f t="shared" ref="R8:R10" si="5">E8</f>
        <v>2</v>
      </c>
      <c r="S8" s="3">
        <f t="shared" ref="S8:S10" si="6">SUM(O8:R8)</f>
        <v>13</v>
      </c>
      <c r="U8" s="3" t="s">
        <v>4</v>
      </c>
      <c r="V8" s="5">
        <v>1</v>
      </c>
      <c r="W8" s="5">
        <v>0</v>
      </c>
      <c r="X8" s="5">
        <v>1</v>
      </c>
      <c r="Y8" s="5">
        <v>1</v>
      </c>
    </row>
    <row r="9" spans="1:25" x14ac:dyDescent="0.3">
      <c r="A9" s="3" t="s">
        <v>5</v>
      </c>
      <c r="B9" s="5">
        <v>3</v>
      </c>
      <c r="C9" s="5">
        <v>0</v>
      </c>
      <c r="D9" s="7">
        <v>8</v>
      </c>
      <c r="E9" s="5">
        <v>0</v>
      </c>
      <c r="F9" s="3">
        <f t="shared" si="1"/>
        <v>11</v>
      </c>
      <c r="H9" s="3" t="s">
        <v>5</v>
      </c>
      <c r="I9" s="5">
        <v>2</v>
      </c>
      <c r="J9" s="5">
        <v>1</v>
      </c>
      <c r="K9" s="5">
        <v>0</v>
      </c>
      <c r="L9" s="5">
        <v>1</v>
      </c>
      <c r="N9" s="3" t="s">
        <v>5</v>
      </c>
      <c r="O9" s="5">
        <f t="shared" si="2"/>
        <v>3</v>
      </c>
      <c r="P9" s="5">
        <f t="shared" si="3"/>
        <v>0</v>
      </c>
      <c r="Q9" s="7">
        <f t="shared" si="4"/>
        <v>8</v>
      </c>
      <c r="R9" s="5">
        <f t="shared" si="5"/>
        <v>0</v>
      </c>
      <c r="S9" s="3">
        <f t="shared" si="6"/>
        <v>11</v>
      </c>
      <c r="U9" s="3" t="s">
        <v>5</v>
      </c>
      <c r="V9" s="5">
        <v>1</v>
      </c>
      <c r="W9" s="5">
        <v>1</v>
      </c>
      <c r="X9" s="5">
        <v>0</v>
      </c>
      <c r="Y9" s="5">
        <v>1</v>
      </c>
    </row>
    <row r="10" spans="1:25" x14ac:dyDescent="0.3">
      <c r="A10" s="3" t="s">
        <v>29</v>
      </c>
      <c r="B10" s="5">
        <v>1</v>
      </c>
      <c r="C10" s="5">
        <v>2</v>
      </c>
      <c r="D10" s="5">
        <v>0</v>
      </c>
      <c r="E10" s="7">
        <v>7</v>
      </c>
      <c r="F10" s="3">
        <f t="shared" si="1"/>
        <v>10</v>
      </c>
      <c r="H10" s="3" t="s">
        <v>29</v>
      </c>
      <c r="I10" s="5">
        <v>3</v>
      </c>
      <c r="J10" s="5">
        <v>2</v>
      </c>
      <c r="K10" s="5">
        <v>1</v>
      </c>
      <c r="L10" s="5">
        <v>0</v>
      </c>
      <c r="N10" s="3" t="s">
        <v>29</v>
      </c>
      <c r="O10" s="5">
        <f t="shared" si="2"/>
        <v>1</v>
      </c>
      <c r="P10" s="5">
        <f t="shared" si="3"/>
        <v>2</v>
      </c>
      <c r="Q10" s="5">
        <f t="shared" si="4"/>
        <v>0</v>
      </c>
      <c r="R10" s="7">
        <f t="shared" si="5"/>
        <v>7</v>
      </c>
      <c r="S10" s="3">
        <f t="shared" si="6"/>
        <v>10</v>
      </c>
      <c r="U10" s="3" t="s">
        <v>29</v>
      </c>
      <c r="V10" s="5">
        <v>1</v>
      </c>
      <c r="W10" s="5">
        <v>1</v>
      </c>
      <c r="X10" s="5">
        <v>1</v>
      </c>
      <c r="Y10" s="5">
        <v>0</v>
      </c>
    </row>
    <row r="11" spans="1:25" x14ac:dyDescent="0.3">
      <c r="A11" s="3" t="s">
        <v>6</v>
      </c>
      <c r="B11" s="3">
        <f>SUM(B7:B10)</f>
        <v>17</v>
      </c>
      <c r="C11" s="3">
        <f t="shared" ref="C11:E11" si="7">SUM(C7:C10)</f>
        <v>12</v>
      </c>
      <c r="D11" s="3">
        <f t="shared" si="7"/>
        <v>11</v>
      </c>
      <c r="E11" s="3">
        <f t="shared" si="7"/>
        <v>10</v>
      </c>
      <c r="F11" s="3">
        <f>SUM(B11:E11)</f>
        <v>50</v>
      </c>
      <c r="L11" s="10"/>
      <c r="N11" s="3" t="s">
        <v>6</v>
      </c>
      <c r="O11" s="3">
        <f>SUM(O7:O10)</f>
        <v>17</v>
      </c>
      <c r="P11" s="3">
        <f t="shared" ref="P11:R11" si="8">SUM(P7:P10)</f>
        <v>12</v>
      </c>
      <c r="Q11" s="3">
        <f t="shared" si="8"/>
        <v>11</v>
      </c>
      <c r="R11" s="3">
        <f t="shared" si="8"/>
        <v>10</v>
      </c>
      <c r="S11" s="3">
        <f>SUM(O11:R11)</f>
        <v>50</v>
      </c>
    </row>
    <row r="13" spans="1:25" x14ac:dyDescent="0.3">
      <c r="A13" s="2" t="s">
        <v>22</v>
      </c>
      <c r="B13"/>
      <c r="N13" s="2" t="s">
        <v>22</v>
      </c>
      <c r="O13"/>
    </row>
    <row r="15" spans="1:25" x14ac:dyDescent="0.3">
      <c r="A15" s="3"/>
      <c r="B15" s="3"/>
      <c r="C15" s="3" t="s">
        <v>1</v>
      </c>
      <c r="D15" s="3"/>
      <c r="E15" s="3"/>
      <c r="F15" s="3"/>
      <c r="N15" s="3"/>
      <c r="O15" s="3"/>
      <c r="P15" s="3" t="s">
        <v>1</v>
      </c>
      <c r="Q15" s="3"/>
      <c r="R15" s="3"/>
      <c r="S15" s="3"/>
    </row>
    <row r="16" spans="1:25" x14ac:dyDescent="0.3">
      <c r="A16" s="3" t="s">
        <v>2</v>
      </c>
      <c r="B16" s="3" t="s">
        <v>3</v>
      </c>
      <c r="C16" s="3" t="s">
        <v>4</v>
      </c>
      <c r="D16" s="3" t="s">
        <v>5</v>
      </c>
      <c r="E16" s="3" t="s">
        <v>29</v>
      </c>
      <c r="F16" s="3" t="s">
        <v>6</v>
      </c>
      <c r="H16" s="2" t="s">
        <v>9</v>
      </c>
      <c r="I16" s="2">
        <f>1-(L16/L17)</f>
        <v>0.471830985915493</v>
      </c>
      <c r="K16" s="11" t="s">
        <v>19</v>
      </c>
      <c r="L16" s="2">
        <f>SUMPRODUCT(B7:E10,I7:L10)</f>
        <v>33</v>
      </c>
      <c r="N16" s="3" t="s">
        <v>2</v>
      </c>
      <c r="O16" s="3" t="s">
        <v>3</v>
      </c>
      <c r="P16" s="3" t="s">
        <v>4</v>
      </c>
      <c r="Q16" s="3" t="s">
        <v>5</v>
      </c>
      <c r="R16" s="3" t="s">
        <v>29</v>
      </c>
      <c r="S16" s="3" t="s">
        <v>6</v>
      </c>
      <c r="U16" s="2" t="s">
        <v>9</v>
      </c>
      <c r="V16" s="2">
        <f>1-(Y16/Y17)</f>
        <v>0.4597514856834144</v>
      </c>
      <c r="X16" s="11" t="s">
        <v>19</v>
      </c>
      <c r="Y16" s="2">
        <f>SUMPRODUCT(O7:R10,V7:Y10)</f>
        <v>20</v>
      </c>
    </row>
    <row r="17" spans="1:26" x14ac:dyDescent="0.3">
      <c r="A17" s="3" t="s">
        <v>3</v>
      </c>
      <c r="B17" s="7">
        <f>B$11*$F7/$F$11</f>
        <v>5.44</v>
      </c>
      <c r="C17" s="5">
        <f>C$11*$F7/$F$11</f>
        <v>3.84</v>
      </c>
      <c r="D17" s="5">
        <f>D$11*$F7/$F$11</f>
        <v>3.52</v>
      </c>
      <c r="E17" s="5">
        <f>E$11*$F7/$F$11</f>
        <v>3.2</v>
      </c>
      <c r="F17" s="3">
        <f>SUM(B17:E17)</f>
        <v>16</v>
      </c>
      <c r="K17" s="11" t="s">
        <v>20</v>
      </c>
      <c r="L17" s="2">
        <f>SUMPRODUCT(B17:E20,I7:L10)</f>
        <v>62.480000000000004</v>
      </c>
      <c r="N17" s="3" t="s">
        <v>3</v>
      </c>
      <c r="O17" s="7">
        <f>O$11*$F7/$F$11</f>
        <v>5.44</v>
      </c>
      <c r="P17" s="5">
        <f t="shared" ref="P17:R17" si="9">P$11*$F7/$F$11</f>
        <v>3.84</v>
      </c>
      <c r="Q17" s="5">
        <f t="shared" si="9"/>
        <v>3.52</v>
      </c>
      <c r="R17" s="5">
        <f t="shared" si="9"/>
        <v>3.2</v>
      </c>
      <c r="S17" s="3">
        <f>SUM(O17:R17)</f>
        <v>16</v>
      </c>
      <c r="X17" s="11" t="s">
        <v>20</v>
      </c>
      <c r="Y17" s="2">
        <f>SUMPRODUCT(O17:R20,V7:Y10)</f>
        <v>37.020000000000003</v>
      </c>
    </row>
    <row r="18" spans="1:26" x14ac:dyDescent="0.3">
      <c r="A18" s="3" t="s">
        <v>4</v>
      </c>
      <c r="B18" s="5">
        <f t="shared" ref="B18:E18" si="10">B$11*$F8/$F$11</f>
        <v>4.42</v>
      </c>
      <c r="C18" s="7">
        <f t="shared" si="10"/>
        <v>3.12</v>
      </c>
      <c r="D18" s="5">
        <f t="shared" si="10"/>
        <v>2.86</v>
      </c>
      <c r="E18" s="5">
        <f t="shared" si="10"/>
        <v>2.6</v>
      </c>
      <c r="F18" s="3">
        <f t="shared" ref="F18:F20" si="11">SUM(B18:E18)</f>
        <v>13</v>
      </c>
      <c r="H18"/>
      <c r="N18" s="3" t="s">
        <v>4</v>
      </c>
      <c r="O18" s="5">
        <f t="shared" ref="O18:R18" si="12">O$11*$F8/$F$11</f>
        <v>4.42</v>
      </c>
      <c r="P18" s="7">
        <f t="shared" si="12"/>
        <v>3.12</v>
      </c>
      <c r="Q18" s="5">
        <f t="shared" si="12"/>
        <v>2.86</v>
      </c>
      <c r="R18" s="5">
        <f t="shared" si="12"/>
        <v>2.6</v>
      </c>
      <c r="S18" s="3">
        <f t="shared" ref="S18:S20" si="13">SUM(O18:R18)</f>
        <v>13</v>
      </c>
    </row>
    <row r="19" spans="1:26" x14ac:dyDescent="0.3">
      <c r="A19" s="3" t="s">
        <v>5</v>
      </c>
      <c r="B19" s="5">
        <f t="shared" ref="B19:E19" si="14">B$11*$F9/$F$11</f>
        <v>3.74</v>
      </c>
      <c r="C19" s="5">
        <f t="shared" si="14"/>
        <v>2.64</v>
      </c>
      <c r="D19" s="7">
        <f t="shared" si="14"/>
        <v>2.42</v>
      </c>
      <c r="E19" s="5">
        <f t="shared" si="14"/>
        <v>2.2000000000000002</v>
      </c>
      <c r="F19" s="3">
        <f t="shared" si="11"/>
        <v>11</v>
      </c>
      <c r="K19" s="11" t="s">
        <v>23</v>
      </c>
      <c r="L19" s="1">
        <f>1-(L16/L17)</f>
        <v>0.471830985915493</v>
      </c>
      <c r="N19" s="3" t="s">
        <v>5</v>
      </c>
      <c r="O19" s="5">
        <f t="shared" ref="O19:R19" si="15">O$11*$F9/$F$11</f>
        <v>3.74</v>
      </c>
      <c r="P19" s="5">
        <f t="shared" si="15"/>
        <v>2.64</v>
      </c>
      <c r="Q19" s="7">
        <f t="shared" si="15"/>
        <v>2.42</v>
      </c>
      <c r="R19" s="5">
        <f t="shared" si="15"/>
        <v>2.2000000000000002</v>
      </c>
      <c r="S19" s="3">
        <f t="shared" si="13"/>
        <v>11</v>
      </c>
      <c r="X19" s="11" t="s">
        <v>23</v>
      </c>
      <c r="Y19" s="1">
        <f>1-(Y16/Y17)</f>
        <v>0.4597514856834144</v>
      </c>
    </row>
    <row r="20" spans="1:26" x14ac:dyDescent="0.3">
      <c r="A20" s="3" t="s">
        <v>29</v>
      </c>
      <c r="B20" s="5">
        <f t="shared" ref="B20:E20" si="16">B$11*$F10/$F$11</f>
        <v>3.4</v>
      </c>
      <c r="C20" s="5">
        <f t="shared" si="16"/>
        <v>2.4</v>
      </c>
      <c r="D20" s="5">
        <f t="shared" si="16"/>
        <v>2.2000000000000002</v>
      </c>
      <c r="E20" s="7">
        <f t="shared" si="16"/>
        <v>2</v>
      </c>
      <c r="F20" s="3">
        <f t="shared" si="11"/>
        <v>10</v>
      </c>
      <c r="K20" s="11"/>
      <c r="N20" s="3" t="s">
        <v>29</v>
      </c>
      <c r="O20" s="5">
        <f t="shared" ref="O20:R20" si="17">O$11*$F10/$F$11</f>
        <v>3.4</v>
      </c>
      <c r="P20" s="5">
        <f t="shared" si="17"/>
        <v>2.4</v>
      </c>
      <c r="Q20" s="5">
        <f t="shared" si="17"/>
        <v>2.2000000000000002</v>
      </c>
      <c r="R20" s="7">
        <f t="shared" si="17"/>
        <v>2</v>
      </c>
      <c r="S20" s="3">
        <f t="shared" si="13"/>
        <v>10</v>
      </c>
      <c r="X20" s="11"/>
    </row>
    <row r="21" spans="1:26" x14ac:dyDescent="0.3">
      <c r="A21" s="3" t="s">
        <v>6</v>
      </c>
      <c r="B21" s="3">
        <f>SUM(B17:B20)</f>
        <v>17</v>
      </c>
      <c r="C21" s="3">
        <f t="shared" ref="C21:E21" si="18">SUM(C17:C20)</f>
        <v>12</v>
      </c>
      <c r="D21" s="3">
        <f t="shared" si="18"/>
        <v>11</v>
      </c>
      <c r="E21" s="3">
        <f t="shared" si="18"/>
        <v>10</v>
      </c>
      <c r="F21" s="3">
        <f>SUM(B17:E20)</f>
        <v>50.000000000000007</v>
      </c>
      <c r="H21"/>
      <c r="N21" s="3" t="s">
        <v>6</v>
      </c>
      <c r="O21" s="3">
        <f>SUM(O17:O20)</f>
        <v>17</v>
      </c>
      <c r="P21" s="3">
        <f t="shared" ref="P21:R21" si="19">SUM(P17:P20)</f>
        <v>12</v>
      </c>
      <c r="Q21" s="3">
        <f t="shared" si="19"/>
        <v>11</v>
      </c>
      <c r="R21" s="3">
        <f t="shared" si="19"/>
        <v>10</v>
      </c>
      <c r="S21" s="3">
        <f>SUM(O21:R21)</f>
        <v>50</v>
      </c>
    </row>
    <row r="22" spans="1:26" x14ac:dyDescent="0.3">
      <c r="J22"/>
    </row>
    <row r="25" spans="1:26" x14ac:dyDescent="0.3">
      <c r="N25"/>
    </row>
    <row r="26" spans="1:26" x14ac:dyDescent="0.3">
      <c r="N26"/>
    </row>
    <row r="30" spans="1:26" x14ac:dyDescent="0.3">
      <c r="A30" s="2" t="s">
        <v>21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H31" s="6" t="s">
        <v>17</v>
      </c>
      <c r="M31" s="9"/>
      <c r="N31" s="9"/>
      <c r="O31" s="9"/>
      <c r="P31" s="9"/>
      <c r="Q31" s="9"/>
      <c r="R31" s="9"/>
      <c r="S31" s="9"/>
      <c r="T31" s="9"/>
      <c r="U31" s="20"/>
      <c r="V31" s="9"/>
      <c r="W31" s="9"/>
      <c r="X31" s="9"/>
      <c r="Y31" s="9"/>
      <c r="Z31" s="9"/>
    </row>
    <row r="32" spans="1:26" x14ac:dyDescent="0.3">
      <c r="A32" s="3"/>
      <c r="B32" s="3"/>
      <c r="C32" s="3" t="s">
        <v>1</v>
      </c>
      <c r="D32" s="3"/>
      <c r="E32" s="3"/>
      <c r="F32" s="3"/>
      <c r="H32" s="3"/>
      <c r="I32" s="3"/>
      <c r="J32" s="3" t="s">
        <v>14</v>
      </c>
      <c r="K32" s="23"/>
      <c r="L32" s="3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3" t="s">
        <v>2</v>
      </c>
      <c r="B33" s="3" t="s">
        <v>3</v>
      </c>
      <c r="C33" s="3" t="s">
        <v>4</v>
      </c>
      <c r="D33" s="3" t="s">
        <v>5</v>
      </c>
      <c r="E33" s="3" t="s">
        <v>29</v>
      </c>
      <c r="F33" s="3" t="s">
        <v>6</v>
      </c>
      <c r="H33" s="3"/>
      <c r="I33" s="3" t="s">
        <v>3</v>
      </c>
      <c r="J33" s="3" t="s">
        <v>4</v>
      </c>
      <c r="K33" s="23" t="s">
        <v>5</v>
      </c>
      <c r="L33" s="3" t="s">
        <v>29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3" t="s">
        <v>3</v>
      </c>
      <c r="B34" s="7">
        <f>B7</f>
        <v>9</v>
      </c>
      <c r="C34" s="5">
        <f t="shared" ref="C34:E34" si="20">C7</f>
        <v>4</v>
      </c>
      <c r="D34" s="5">
        <f t="shared" si="20"/>
        <v>2</v>
      </c>
      <c r="E34" s="5">
        <f t="shared" si="20"/>
        <v>1</v>
      </c>
      <c r="F34" s="3">
        <f>SUM(B34:E34)</f>
        <v>16</v>
      </c>
      <c r="H34" s="3" t="s">
        <v>3</v>
      </c>
      <c r="I34" s="5">
        <v>0</v>
      </c>
      <c r="J34" s="5">
        <v>0.1111</v>
      </c>
      <c r="K34" s="5">
        <v>0.44440000000000002</v>
      </c>
      <c r="L34" s="5">
        <v>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3" t="s">
        <v>4</v>
      </c>
      <c r="B35" s="5">
        <f t="shared" ref="B35:E35" si="21">B8</f>
        <v>4</v>
      </c>
      <c r="C35" s="7">
        <f t="shared" si="21"/>
        <v>6</v>
      </c>
      <c r="D35" s="5">
        <f t="shared" si="21"/>
        <v>1</v>
      </c>
      <c r="E35" s="5">
        <f t="shared" si="21"/>
        <v>2</v>
      </c>
      <c r="F35" s="3">
        <f t="shared" ref="F35:F37" si="22">SUM(B35:E35)</f>
        <v>13</v>
      </c>
      <c r="H35" s="3" t="s">
        <v>4</v>
      </c>
      <c r="I35" s="5">
        <v>0.1111</v>
      </c>
      <c r="J35" s="5">
        <v>0</v>
      </c>
      <c r="K35" s="5">
        <v>0.1111</v>
      </c>
      <c r="L35" s="5">
        <v>0.44440000000000002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3" t="s">
        <v>5</v>
      </c>
      <c r="B36" s="5">
        <f t="shared" ref="B36:E36" si="23">B9</f>
        <v>3</v>
      </c>
      <c r="C36" s="5">
        <f t="shared" si="23"/>
        <v>0</v>
      </c>
      <c r="D36" s="7">
        <f t="shared" si="23"/>
        <v>8</v>
      </c>
      <c r="E36" s="5">
        <f t="shared" si="23"/>
        <v>0</v>
      </c>
      <c r="F36" s="3">
        <f t="shared" si="22"/>
        <v>11</v>
      </c>
      <c r="H36" s="3" t="s">
        <v>5</v>
      </c>
      <c r="I36" s="5">
        <v>0.44440000000000002</v>
      </c>
      <c r="J36" s="5">
        <v>0.1111</v>
      </c>
      <c r="K36" s="5">
        <v>0</v>
      </c>
      <c r="L36" s="5">
        <v>0.1111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3" t="s">
        <v>29</v>
      </c>
      <c r="B37" s="5">
        <f t="shared" ref="B37:E37" si="24">B10</f>
        <v>1</v>
      </c>
      <c r="C37" s="5">
        <f t="shared" si="24"/>
        <v>2</v>
      </c>
      <c r="D37" s="5">
        <f t="shared" si="24"/>
        <v>0</v>
      </c>
      <c r="E37" s="7">
        <f t="shared" si="24"/>
        <v>7</v>
      </c>
      <c r="F37" s="3">
        <f t="shared" si="22"/>
        <v>10</v>
      </c>
      <c r="H37" s="3" t="s">
        <v>29</v>
      </c>
      <c r="I37" s="5">
        <v>1</v>
      </c>
      <c r="J37" s="5">
        <v>0.44440000000000002</v>
      </c>
      <c r="K37" s="5">
        <v>0.1111</v>
      </c>
      <c r="L37" s="5">
        <v>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3" t="s">
        <v>6</v>
      </c>
      <c r="B38" s="3">
        <f>SUM(B34:B37)</f>
        <v>17</v>
      </c>
      <c r="C38" s="3">
        <f t="shared" ref="C38:E38" si="25">SUM(C34:C37)</f>
        <v>12</v>
      </c>
      <c r="D38" s="3">
        <f t="shared" si="25"/>
        <v>11</v>
      </c>
      <c r="E38" s="3">
        <f t="shared" si="25"/>
        <v>10</v>
      </c>
      <c r="F38" s="3">
        <f>SUM(B38:E38)</f>
        <v>50</v>
      </c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2" t="s">
        <v>22</v>
      </c>
      <c r="B40"/>
      <c r="M40" s="9"/>
      <c r="N40" s="9"/>
      <c r="O40" s="21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3"/>
      <c r="B42" s="3"/>
      <c r="C42" s="3" t="s">
        <v>1</v>
      </c>
      <c r="D42" s="3"/>
      <c r="E42" s="3"/>
      <c r="F42" s="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3" t="s">
        <v>2</v>
      </c>
      <c r="B43" s="3" t="s">
        <v>3</v>
      </c>
      <c r="C43" s="3" t="s">
        <v>4</v>
      </c>
      <c r="D43" s="3" t="s">
        <v>5</v>
      </c>
      <c r="E43" s="3" t="s">
        <v>29</v>
      </c>
      <c r="F43" s="3" t="s">
        <v>6</v>
      </c>
      <c r="H43" s="2" t="s">
        <v>9</v>
      </c>
      <c r="I43" s="2">
        <f>1-(K43/K44)</f>
        <v>0.50237879925379936</v>
      </c>
      <c r="J43" s="11" t="s">
        <v>30</v>
      </c>
      <c r="K43" s="2">
        <f>SUMPRODUCT(B34:E37,I34:L37)</f>
        <v>6.9994999999999994</v>
      </c>
      <c r="L43" s="2"/>
      <c r="M43" s="9"/>
      <c r="N43" s="9"/>
      <c r="O43" s="9"/>
      <c r="P43" s="9"/>
      <c r="Q43" s="9"/>
      <c r="R43" s="9"/>
      <c r="S43" s="9"/>
      <c r="T43" s="9"/>
      <c r="U43" s="22"/>
      <c r="V43" s="22"/>
      <c r="W43" s="9"/>
      <c r="X43" s="22"/>
      <c r="Y43" s="9"/>
      <c r="Z43" s="9"/>
    </row>
    <row r="44" spans="1:26" x14ac:dyDescent="0.3">
      <c r="A44" s="3" t="s">
        <v>3</v>
      </c>
      <c r="B44" s="7">
        <f t="shared" ref="B44:E44" si="26">B$11*$F34/$F$11</f>
        <v>5.44</v>
      </c>
      <c r="C44" s="5">
        <f t="shared" si="26"/>
        <v>3.84</v>
      </c>
      <c r="D44" s="5">
        <f t="shared" si="26"/>
        <v>3.52</v>
      </c>
      <c r="E44" s="5">
        <f t="shared" si="26"/>
        <v>3.2</v>
      </c>
      <c r="F44" s="3">
        <f>SUM(B44:E44)</f>
        <v>16</v>
      </c>
      <c r="J44" s="11" t="s">
        <v>31</v>
      </c>
      <c r="K44" s="2">
        <f>SUMPRODUCT(B44:E47,I34:L37)</f>
        <v>14.06592</v>
      </c>
      <c r="L44" s="2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22"/>
      <c r="Y44" s="9"/>
      <c r="Z44" s="9"/>
    </row>
    <row r="45" spans="1:26" x14ac:dyDescent="0.3">
      <c r="A45" s="3" t="s">
        <v>4</v>
      </c>
      <c r="B45" s="5">
        <f t="shared" ref="B45:E45" si="27">B$11*$F35/$F$11</f>
        <v>4.42</v>
      </c>
      <c r="C45" s="7">
        <f t="shared" si="27"/>
        <v>3.12</v>
      </c>
      <c r="D45" s="5">
        <f t="shared" si="27"/>
        <v>2.86</v>
      </c>
      <c r="E45" s="5">
        <f t="shared" si="27"/>
        <v>2.6</v>
      </c>
      <c r="F45" s="3">
        <f t="shared" ref="F45:F47" si="28">SUM(B45:E45)</f>
        <v>13</v>
      </c>
      <c r="H45"/>
      <c r="M45" s="9"/>
      <c r="N45" s="9"/>
      <c r="O45" s="9"/>
      <c r="P45" s="9"/>
      <c r="Q45" s="9"/>
      <c r="R45" s="9"/>
      <c r="S45" s="9"/>
      <c r="T45" s="9"/>
      <c r="U45" s="21"/>
      <c r="V45" s="9"/>
      <c r="W45" s="9"/>
      <c r="X45" s="9"/>
      <c r="Y45" s="9"/>
      <c r="Z45" s="9"/>
    </row>
    <row r="46" spans="1:26" x14ac:dyDescent="0.3">
      <c r="A46" s="3" t="s">
        <v>5</v>
      </c>
      <c r="B46" s="5">
        <f t="shared" ref="B46:E46" si="29">B$11*$F36/$F$11</f>
        <v>3.74</v>
      </c>
      <c r="C46" s="5">
        <f t="shared" si="29"/>
        <v>2.64</v>
      </c>
      <c r="D46" s="7">
        <f t="shared" si="29"/>
        <v>2.42</v>
      </c>
      <c r="E46" s="5">
        <f t="shared" si="29"/>
        <v>2.2000000000000002</v>
      </c>
      <c r="F46" s="3">
        <f t="shared" si="28"/>
        <v>11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3" t="s">
        <v>29</v>
      </c>
      <c r="B47" s="5">
        <f t="shared" ref="B47:E47" si="30">B$11*$F37/$F$11</f>
        <v>3.4</v>
      </c>
      <c r="C47" s="5">
        <f t="shared" si="30"/>
        <v>2.4</v>
      </c>
      <c r="D47" s="5">
        <f t="shared" si="30"/>
        <v>2.2000000000000002</v>
      </c>
      <c r="E47" s="7">
        <f t="shared" si="30"/>
        <v>2</v>
      </c>
      <c r="F47" s="3">
        <f t="shared" si="28"/>
        <v>10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3" t="s">
        <v>6</v>
      </c>
      <c r="B48" s="3">
        <f>SUM(B44:B47)</f>
        <v>17</v>
      </c>
      <c r="C48" s="3">
        <f t="shared" ref="C48:E48" si="31">SUM(C44:C47)</f>
        <v>12</v>
      </c>
      <c r="D48" s="3">
        <f t="shared" si="31"/>
        <v>11</v>
      </c>
      <c r="E48" s="3">
        <f t="shared" si="31"/>
        <v>10</v>
      </c>
      <c r="F48" s="3">
        <f>SUM(B48:E48)</f>
        <v>50</v>
      </c>
      <c r="H48"/>
      <c r="M48" s="9"/>
      <c r="N48" s="9"/>
      <c r="O48" s="9"/>
      <c r="P48" s="9"/>
      <c r="Q48" s="9"/>
      <c r="R48" s="9"/>
      <c r="S48" s="9"/>
      <c r="T48" s="9"/>
      <c r="U48" s="21"/>
      <c r="V48" s="9"/>
      <c r="W48" s="9"/>
      <c r="X48" s="9"/>
      <c r="Y48" s="9"/>
      <c r="Z48" s="9"/>
    </row>
    <row r="49" spans="13:26" x14ac:dyDescent="0.3"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3:26" x14ac:dyDescent="0.3"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3572-987F-4143-BE52-0B2D90980A27}">
  <dimension ref="A2:Z50"/>
  <sheetViews>
    <sheetView topLeftCell="A16" workbookViewId="0">
      <selection activeCell="L30" sqref="L30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5" x14ac:dyDescent="0.3">
      <c r="A2" s="2"/>
    </row>
    <row r="3" spans="1:25" x14ac:dyDescent="0.3">
      <c r="A3" s="2" t="s">
        <v>21</v>
      </c>
      <c r="M3" s="2"/>
      <c r="N3" s="2" t="s">
        <v>21</v>
      </c>
    </row>
    <row r="4" spans="1:25" x14ac:dyDescent="0.3">
      <c r="H4" s="6" t="s">
        <v>16</v>
      </c>
      <c r="U4" s="6" t="s">
        <v>18</v>
      </c>
    </row>
    <row r="5" spans="1:25" x14ac:dyDescent="0.3">
      <c r="A5" s="3"/>
      <c r="B5" s="3"/>
      <c r="C5" s="3" t="s">
        <v>1</v>
      </c>
      <c r="D5" s="3"/>
      <c r="E5" s="3"/>
      <c r="F5" s="3"/>
      <c r="H5" s="3"/>
      <c r="I5" s="3"/>
      <c r="J5" s="3" t="s">
        <v>14</v>
      </c>
      <c r="K5" s="3"/>
      <c r="L5" s="3"/>
      <c r="N5" s="3"/>
      <c r="O5" s="3"/>
      <c r="P5" s="3" t="s">
        <v>1</v>
      </c>
      <c r="Q5" s="3"/>
      <c r="R5" s="3"/>
      <c r="S5" s="3"/>
      <c r="U5" s="3"/>
      <c r="V5" s="3"/>
      <c r="W5" s="3" t="s">
        <v>14</v>
      </c>
      <c r="X5" s="3"/>
      <c r="Y5" s="3"/>
    </row>
    <row r="6" spans="1:25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6</v>
      </c>
      <c r="H6" s="3"/>
      <c r="I6" s="3" t="s">
        <v>3</v>
      </c>
      <c r="J6" s="3" t="s">
        <v>4</v>
      </c>
      <c r="K6" s="3" t="s">
        <v>5</v>
      </c>
      <c r="L6" s="3" t="s">
        <v>29</v>
      </c>
      <c r="N6" s="3" t="s">
        <v>2</v>
      </c>
      <c r="O6" s="3" t="s">
        <v>3</v>
      </c>
      <c r="P6" s="3" t="s">
        <v>4</v>
      </c>
      <c r="Q6" s="3" t="s">
        <v>5</v>
      </c>
      <c r="R6" s="3" t="s">
        <v>29</v>
      </c>
      <c r="S6" s="3" t="s">
        <v>6</v>
      </c>
      <c r="U6" s="3"/>
      <c r="V6" s="3" t="s">
        <v>3</v>
      </c>
      <c r="W6" s="3" t="s">
        <v>4</v>
      </c>
      <c r="X6" s="3" t="s">
        <v>5</v>
      </c>
      <c r="Y6" s="3" t="s">
        <v>29</v>
      </c>
    </row>
    <row r="7" spans="1:25" x14ac:dyDescent="0.3">
      <c r="A7" s="3" t="s">
        <v>3</v>
      </c>
      <c r="B7" s="7">
        <v>20</v>
      </c>
      <c r="C7" s="5">
        <v>4</v>
      </c>
      <c r="D7" s="5">
        <v>2</v>
      </c>
      <c r="E7" s="5">
        <v>1</v>
      </c>
      <c r="F7" s="3">
        <f>SUM(B7:E7)</f>
        <v>27</v>
      </c>
      <c r="H7" s="3" t="s">
        <v>3</v>
      </c>
      <c r="I7" s="5">
        <v>0</v>
      </c>
      <c r="J7" s="5">
        <v>1</v>
      </c>
      <c r="K7" s="5">
        <v>2</v>
      </c>
      <c r="L7" s="5">
        <v>3</v>
      </c>
      <c r="N7" s="3" t="s">
        <v>3</v>
      </c>
      <c r="O7" s="7">
        <f>B7</f>
        <v>20</v>
      </c>
      <c r="P7" s="5">
        <f t="shared" ref="P7:R10" si="0">C7</f>
        <v>4</v>
      </c>
      <c r="Q7" s="5">
        <f t="shared" si="0"/>
        <v>2</v>
      </c>
      <c r="R7" s="5">
        <f t="shared" si="0"/>
        <v>1</v>
      </c>
      <c r="S7" s="3">
        <f>SUM(O7:R7)</f>
        <v>27</v>
      </c>
      <c r="U7" s="3" t="s">
        <v>3</v>
      </c>
      <c r="V7" s="5">
        <v>0</v>
      </c>
      <c r="W7" s="5">
        <v>1</v>
      </c>
      <c r="X7" s="5">
        <v>1</v>
      </c>
      <c r="Y7" s="5">
        <v>1</v>
      </c>
    </row>
    <row r="8" spans="1:25" x14ac:dyDescent="0.3">
      <c r="A8" s="3" t="s">
        <v>4</v>
      </c>
      <c r="B8" s="5">
        <v>4</v>
      </c>
      <c r="C8" s="7">
        <v>3</v>
      </c>
      <c r="D8" s="5">
        <v>1</v>
      </c>
      <c r="E8" s="5">
        <v>2</v>
      </c>
      <c r="F8" s="3">
        <f t="shared" ref="F8:F10" si="1">SUM(B8:E8)</f>
        <v>10</v>
      </c>
      <c r="H8" s="3" t="s">
        <v>4</v>
      </c>
      <c r="I8" s="5">
        <v>1</v>
      </c>
      <c r="J8" s="5">
        <v>0</v>
      </c>
      <c r="K8" s="5">
        <v>1</v>
      </c>
      <c r="L8" s="5">
        <v>2</v>
      </c>
      <c r="N8" s="3" t="s">
        <v>4</v>
      </c>
      <c r="O8" s="5">
        <f t="shared" ref="O8:O10" si="2">B8</f>
        <v>4</v>
      </c>
      <c r="P8" s="7">
        <f t="shared" si="0"/>
        <v>3</v>
      </c>
      <c r="Q8" s="5">
        <f t="shared" si="0"/>
        <v>1</v>
      </c>
      <c r="R8" s="5">
        <f t="shared" si="0"/>
        <v>2</v>
      </c>
      <c r="S8" s="3">
        <f t="shared" ref="S8:S10" si="3">SUM(O8:R8)</f>
        <v>10</v>
      </c>
      <c r="U8" s="3" t="s">
        <v>4</v>
      </c>
      <c r="V8" s="5">
        <v>1</v>
      </c>
      <c r="W8" s="5">
        <v>0</v>
      </c>
      <c r="X8" s="5">
        <v>1</v>
      </c>
      <c r="Y8" s="5">
        <v>1</v>
      </c>
    </row>
    <row r="9" spans="1:25" x14ac:dyDescent="0.3">
      <c r="A9" s="3" t="s">
        <v>5</v>
      </c>
      <c r="B9" s="5">
        <v>3</v>
      </c>
      <c r="C9" s="5">
        <v>0</v>
      </c>
      <c r="D9" s="7">
        <v>2</v>
      </c>
      <c r="E9" s="5">
        <v>0</v>
      </c>
      <c r="F9" s="3">
        <f t="shared" si="1"/>
        <v>5</v>
      </c>
      <c r="H9" s="3" t="s">
        <v>5</v>
      </c>
      <c r="I9" s="5">
        <v>2</v>
      </c>
      <c r="J9" s="5">
        <v>1</v>
      </c>
      <c r="K9" s="5">
        <v>0</v>
      </c>
      <c r="L9" s="5">
        <v>1</v>
      </c>
      <c r="N9" s="3" t="s">
        <v>5</v>
      </c>
      <c r="O9" s="5">
        <f t="shared" si="2"/>
        <v>3</v>
      </c>
      <c r="P9" s="5">
        <f t="shared" si="0"/>
        <v>0</v>
      </c>
      <c r="Q9" s="7">
        <f t="shared" si="0"/>
        <v>2</v>
      </c>
      <c r="R9" s="5">
        <f t="shared" si="0"/>
        <v>0</v>
      </c>
      <c r="S9" s="3">
        <f t="shared" si="3"/>
        <v>5</v>
      </c>
      <c r="U9" s="3" t="s">
        <v>5</v>
      </c>
      <c r="V9" s="5">
        <v>1</v>
      </c>
      <c r="W9" s="5">
        <v>1</v>
      </c>
      <c r="X9" s="5">
        <v>0</v>
      </c>
      <c r="Y9" s="5">
        <v>1</v>
      </c>
    </row>
    <row r="10" spans="1:25" x14ac:dyDescent="0.3">
      <c r="A10" s="3" t="s">
        <v>29</v>
      </c>
      <c r="B10" s="5">
        <v>1</v>
      </c>
      <c r="C10" s="5">
        <v>2</v>
      </c>
      <c r="D10" s="5">
        <v>0</v>
      </c>
      <c r="E10" s="7">
        <v>5</v>
      </c>
      <c r="F10" s="3">
        <f t="shared" si="1"/>
        <v>8</v>
      </c>
      <c r="H10" s="3" t="s">
        <v>29</v>
      </c>
      <c r="I10" s="5">
        <v>3</v>
      </c>
      <c r="J10" s="5">
        <v>2</v>
      </c>
      <c r="K10" s="5">
        <v>1</v>
      </c>
      <c r="L10" s="5">
        <v>0</v>
      </c>
      <c r="N10" s="3" t="s">
        <v>29</v>
      </c>
      <c r="O10" s="5">
        <f t="shared" si="2"/>
        <v>1</v>
      </c>
      <c r="P10" s="5">
        <f t="shared" si="0"/>
        <v>2</v>
      </c>
      <c r="Q10" s="5">
        <f t="shared" si="0"/>
        <v>0</v>
      </c>
      <c r="R10" s="7">
        <f t="shared" si="0"/>
        <v>5</v>
      </c>
      <c r="S10" s="3">
        <f t="shared" si="3"/>
        <v>8</v>
      </c>
      <c r="U10" s="3" t="s">
        <v>29</v>
      </c>
      <c r="V10" s="5">
        <v>1</v>
      </c>
      <c r="W10" s="5">
        <v>1</v>
      </c>
      <c r="X10" s="5">
        <v>1</v>
      </c>
      <c r="Y10" s="5">
        <v>0</v>
      </c>
    </row>
    <row r="11" spans="1:25" x14ac:dyDescent="0.3">
      <c r="A11" s="3" t="s">
        <v>6</v>
      </c>
      <c r="B11" s="3">
        <f>SUM(B7:B10)</f>
        <v>28</v>
      </c>
      <c r="C11" s="3">
        <f t="shared" ref="C11:E11" si="4">SUM(C7:C10)</f>
        <v>9</v>
      </c>
      <c r="D11" s="3">
        <f t="shared" si="4"/>
        <v>5</v>
      </c>
      <c r="E11" s="3">
        <f t="shared" si="4"/>
        <v>8</v>
      </c>
      <c r="F11" s="3">
        <f>SUM(B11:E11)</f>
        <v>50</v>
      </c>
      <c r="L11" s="10"/>
      <c r="N11" s="3" t="s">
        <v>6</v>
      </c>
      <c r="O11" s="3">
        <f>SUM(O7:O10)</f>
        <v>28</v>
      </c>
      <c r="P11" s="3">
        <f t="shared" ref="P11:R11" si="5">SUM(P7:P10)</f>
        <v>9</v>
      </c>
      <c r="Q11" s="3">
        <f t="shared" si="5"/>
        <v>5</v>
      </c>
      <c r="R11" s="3">
        <f t="shared" si="5"/>
        <v>8</v>
      </c>
      <c r="S11" s="3">
        <f>SUM(O11:R11)</f>
        <v>50</v>
      </c>
    </row>
    <row r="13" spans="1:25" x14ac:dyDescent="0.3">
      <c r="A13" s="2" t="s">
        <v>22</v>
      </c>
      <c r="B13"/>
      <c r="N13" s="2" t="s">
        <v>22</v>
      </c>
      <c r="O13"/>
    </row>
    <row r="15" spans="1:25" x14ac:dyDescent="0.3">
      <c r="A15" s="3"/>
      <c r="B15" s="3"/>
      <c r="C15" s="3" t="s">
        <v>1</v>
      </c>
      <c r="D15" s="3"/>
      <c r="E15" s="3"/>
      <c r="F15" s="3"/>
      <c r="N15" s="3"/>
      <c r="O15" s="3"/>
      <c r="P15" s="3" t="s">
        <v>1</v>
      </c>
      <c r="Q15" s="3"/>
      <c r="R15" s="3"/>
      <c r="S15" s="3"/>
    </row>
    <row r="16" spans="1:25" x14ac:dyDescent="0.3">
      <c r="A16" s="3" t="s">
        <v>2</v>
      </c>
      <c r="B16" s="3" t="s">
        <v>3</v>
      </c>
      <c r="C16" s="3" t="s">
        <v>4</v>
      </c>
      <c r="D16" s="3" t="s">
        <v>5</v>
      </c>
      <c r="E16" s="3" t="s">
        <v>29</v>
      </c>
      <c r="F16" s="3" t="s">
        <v>6</v>
      </c>
      <c r="H16" s="2" t="s">
        <v>9</v>
      </c>
      <c r="I16" s="2">
        <f>1-(L16/L17)</f>
        <v>0.42548746518105851</v>
      </c>
      <c r="K16" s="11" t="s">
        <v>19</v>
      </c>
      <c r="L16" s="2">
        <f>SUMPRODUCT(B7:E10,I7:L10)</f>
        <v>33</v>
      </c>
      <c r="N16" s="3" t="s">
        <v>2</v>
      </c>
      <c r="O16" s="3" t="s">
        <v>3</v>
      </c>
      <c r="P16" s="3" t="s">
        <v>4</v>
      </c>
      <c r="Q16" s="3" t="s">
        <v>5</v>
      </c>
      <c r="R16" s="3" t="s">
        <v>29</v>
      </c>
      <c r="S16" s="3" t="s">
        <v>6</v>
      </c>
      <c r="U16" s="2" t="s">
        <v>9</v>
      </c>
      <c r="V16" s="2">
        <f>1-(Y16/Y17)</f>
        <v>0.36102236421725253</v>
      </c>
      <c r="X16" s="11" t="s">
        <v>19</v>
      </c>
      <c r="Y16" s="2">
        <f>SUMPRODUCT(O7:R10,V7:Y10)</f>
        <v>20</v>
      </c>
    </row>
    <row r="17" spans="1:26" x14ac:dyDescent="0.3">
      <c r="A17" s="3" t="s">
        <v>3</v>
      </c>
      <c r="B17" s="7">
        <f>B$11*$F7/$F$11</f>
        <v>15.12</v>
      </c>
      <c r="C17" s="5">
        <f>C$11*$F7/$F$11</f>
        <v>4.8600000000000003</v>
      </c>
      <c r="D17" s="5">
        <f>D$11*$F7/$F$11</f>
        <v>2.7</v>
      </c>
      <c r="E17" s="5">
        <f>E$11*$F7/$F$11</f>
        <v>4.32</v>
      </c>
      <c r="F17" s="3">
        <f>SUM(B17:E17)</f>
        <v>27</v>
      </c>
      <c r="K17" s="11" t="s">
        <v>20</v>
      </c>
      <c r="L17" s="2">
        <f>SUMPRODUCT(B17:E20,I7:L10)</f>
        <v>57.440000000000005</v>
      </c>
      <c r="N17" s="3" t="s">
        <v>3</v>
      </c>
      <c r="O17" s="7">
        <f>O$11*$F7/$F$11</f>
        <v>15.12</v>
      </c>
      <c r="P17" s="5">
        <f t="shared" ref="P17:R17" si="6">P$11*$F7/$F$11</f>
        <v>4.8600000000000003</v>
      </c>
      <c r="Q17" s="5">
        <f t="shared" si="6"/>
        <v>2.7</v>
      </c>
      <c r="R17" s="5">
        <f t="shared" si="6"/>
        <v>4.32</v>
      </c>
      <c r="S17" s="3">
        <f>SUM(O17:R17)</f>
        <v>27</v>
      </c>
      <c r="X17" s="11" t="s">
        <v>20</v>
      </c>
      <c r="Y17" s="2">
        <f>SUMPRODUCT(O17:R20,V7:Y10)</f>
        <v>31.300000000000004</v>
      </c>
    </row>
    <row r="18" spans="1:26" x14ac:dyDescent="0.3">
      <c r="A18" s="3" t="s">
        <v>4</v>
      </c>
      <c r="B18" s="5">
        <f t="shared" ref="B18:E20" si="7">B$11*$F8/$F$11</f>
        <v>5.6</v>
      </c>
      <c r="C18" s="7">
        <f t="shared" si="7"/>
        <v>1.8</v>
      </c>
      <c r="D18" s="5">
        <f t="shared" si="7"/>
        <v>1</v>
      </c>
      <c r="E18" s="5">
        <f t="shared" si="7"/>
        <v>1.6</v>
      </c>
      <c r="F18" s="3">
        <f t="shared" ref="F18:F20" si="8">SUM(B18:E18)</f>
        <v>9.9999999999999982</v>
      </c>
      <c r="H18"/>
      <c r="N18" s="3" t="s">
        <v>4</v>
      </c>
      <c r="O18" s="5">
        <f t="shared" ref="O18:R20" si="9">O$11*$F8/$F$11</f>
        <v>5.6</v>
      </c>
      <c r="P18" s="7">
        <f t="shared" si="9"/>
        <v>1.8</v>
      </c>
      <c r="Q18" s="5">
        <f t="shared" si="9"/>
        <v>1</v>
      </c>
      <c r="R18" s="5">
        <f t="shared" si="9"/>
        <v>1.6</v>
      </c>
      <c r="S18" s="3">
        <f t="shared" ref="S18:S20" si="10">SUM(O18:R18)</f>
        <v>9.9999999999999982</v>
      </c>
    </row>
    <row r="19" spans="1:26" x14ac:dyDescent="0.3">
      <c r="A19" s="3" t="s">
        <v>5</v>
      </c>
      <c r="B19" s="5">
        <f t="shared" si="7"/>
        <v>2.8</v>
      </c>
      <c r="C19" s="5">
        <f t="shared" si="7"/>
        <v>0.9</v>
      </c>
      <c r="D19" s="7">
        <f t="shared" si="7"/>
        <v>0.5</v>
      </c>
      <c r="E19" s="5">
        <f t="shared" si="7"/>
        <v>0.8</v>
      </c>
      <c r="F19" s="3">
        <f t="shared" si="8"/>
        <v>4.9999999999999991</v>
      </c>
      <c r="K19" s="11" t="s">
        <v>23</v>
      </c>
      <c r="L19" s="1">
        <f>1-(L16/L17)</f>
        <v>0.42548746518105851</v>
      </c>
      <c r="N19" s="3" t="s">
        <v>5</v>
      </c>
      <c r="O19" s="5">
        <f t="shared" si="9"/>
        <v>2.8</v>
      </c>
      <c r="P19" s="5">
        <f t="shared" si="9"/>
        <v>0.9</v>
      </c>
      <c r="Q19" s="7">
        <f t="shared" si="9"/>
        <v>0.5</v>
      </c>
      <c r="R19" s="5">
        <f t="shared" si="9"/>
        <v>0.8</v>
      </c>
      <c r="S19" s="3">
        <f t="shared" si="10"/>
        <v>4.9999999999999991</v>
      </c>
      <c r="X19" s="11" t="s">
        <v>23</v>
      </c>
      <c r="Y19" s="1">
        <f>1-(Y16/Y17)</f>
        <v>0.36102236421725253</v>
      </c>
    </row>
    <row r="20" spans="1:26" x14ac:dyDescent="0.3">
      <c r="A20" s="3" t="s">
        <v>29</v>
      </c>
      <c r="B20" s="5">
        <f t="shared" si="7"/>
        <v>4.4800000000000004</v>
      </c>
      <c r="C20" s="5">
        <f t="shared" si="7"/>
        <v>1.44</v>
      </c>
      <c r="D20" s="5">
        <f t="shared" si="7"/>
        <v>0.8</v>
      </c>
      <c r="E20" s="7">
        <f t="shared" si="7"/>
        <v>1.28</v>
      </c>
      <c r="F20" s="3">
        <f t="shared" si="8"/>
        <v>8</v>
      </c>
      <c r="K20" s="11"/>
      <c r="N20" s="3" t="s">
        <v>29</v>
      </c>
      <c r="O20" s="5">
        <f t="shared" si="9"/>
        <v>4.4800000000000004</v>
      </c>
      <c r="P20" s="5">
        <f t="shared" si="9"/>
        <v>1.44</v>
      </c>
      <c r="Q20" s="5">
        <f t="shared" si="9"/>
        <v>0.8</v>
      </c>
      <c r="R20" s="7">
        <f t="shared" si="9"/>
        <v>1.28</v>
      </c>
      <c r="S20" s="3">
        <f t="shared" si="10"/>
        <v>8</v>
      </c>
      <c r="X20" s="11"/>
    </row>
    <row r="21" spans="1:26" x14ac:dyDescent="0.3">
      <c r="A21" s="3" t="s">
        <v>6</v>
      </c>
      <c r="B21" s="3">
        <f>SUM(B17:B20)</f>
        <v>28</v>
      </c>
      <c r="C21" s="3">
        <f t="shared" ref="C21:E21" si="11">SUM(C17:C20)</f>
        <v>9</v>
      </c>
      <c r="D21" s="3">
        <f t="shared" si="11"/>
        <v>5</v>
      </c>
      <c r="E21" s="3">
        <f t="shared" si="11"/>
        <v>8</v>
      </c>
      <c r="F21" s="3">
        <f>SUM(B17:E20)</f>
        <v>49.999999999999986</v>
      </c>
      <c r="H21"/>
      <c r="N21" s="3" t="s">
        <v>6</v>
      </c>
      <c r="O21" s="3">
        <f>SUM(O17:O20)</f>
        <v>28</v>
      </c>
      <c r="P21" s="3">
        <f t="shared" ref="P21:R21" si="12">SUM(P17:P20)</f>
        <v>9</v>
      </c>
      <c r="Q21" s="3">
        <f t="shared" si="12"/>
        <v>5</v>
      </c>
      <c r="R21" s="3">
        <f t="shared" si="12"/>
        <v>8</v>
      </c>
      <c r="S21" s="3">
        <f>SUM(O21:R21)</f>
        <v>50</v>
      </c>
    </row>
    <row r="22" spans="1:26" x14ac:dyDescent="0.3">
      <c r="J22"/>
    </row>
    <row r="25" spans="1:26" x14ac:dyDescent="0.3">
      <c r="N25"/>
    </row>
    <row r="26" spans="1:26" x14ac:dyDescent="0.3">
      <c r="N26"/>
    </row>
    <row r="30" spans="1:26" x14ac:dyDescent="0.3">
      <c r="A30" s="2" t="s">
        <v>21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H31" s="6" t="s">
        <v>17</v>
      </c>
      <c r="M31" s="9"/>
      <c r="N31" s="9"/>
      <c r="O31" s="9"/>
      <c r="P31" s="9"/>
      <c r="Q31" s="9"/>
      <c r="R31" s="9"/>
      <c r="S31" s="9"/>
      <c r="T31" s="9"/>
      <c r="U31" s="20"/>
      <c r="V31" s="9"/>
      <c r="W31" s="9"/>
      <c r="X31" s="9"/>
      <c r="Y31" s="9"/>
      <c r="Z31" s="9"/>
    </row>
    <row r="32" spans="1:26" x14ac:dyDescent="0.3">
      <c r="A32" s="3"/>
      <c r="B32" s="3"/>
      <c r="C32" s="3" t="s">
        <v>1</v>
      </c>
      <c r="D32" s="3"/>
      <c r="E32" s="3"/>
      <c r="F32" s="3"/>
      <c r="H32" s="3"/>
      <c r="I32" s="3"/>
      <c r="J32" s="3" t="s">
        <v>14</v>
      </c>
      <c r="K32" s="23"/>
      <c r="L32" s="3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3" t="s">
        <v>2</v>
      </c>
      <c r="B33" s="3" t="s">
        <v>3</v>
      </c>
      <c r="C33" s="3" t="s">
        <v>4</v>
      </c>
      <c r="D33" s="3" t="s">
        <v>5</v>
      </c>
      <c r="E33" s="3" t="s">
        <v>29</v>
      </c>
      <c r="F33" s="3" t="s">
        <v>6</v>
      </c>
      <c r="H33" s="3"/>
      <c r="I33" s="3" t="s">
        <v>3</v>
      </c>
      <c r="J33" s="3" t="s">
        <v>4</v>
      </c>
      <c r="K33" s="23" t="s">
        <v>5</v>
      </c>
      <c r="L33" s="3" t="s">
        <v>29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3" t="s">
        <v>3</v>
      </c>
      <c r="B34" s="7">
        <f>B7</f>
        <v>20</v>
      </c>
      <c r="C34" s="5">
        <f t="shared" ref="C34:E34" si="13">C7</f>
        <v>4</v>
      </c>
      <c r="D34" s="5">
        <f t="shared" si="13"/>
        <v>2</v>
      </c>
      <c r="E34" s="5">
        <f t="shared" si="13"/>
        <v>1</v>
      </c>
      <c r="F34" s="3">
        <f>SUM(B34:E34)</f>
        <v>27</v>
      </c>
      <c r="H34" s="3" t="s">
        <v>3</v>
      </c>
      <c r="I34" s="5">
        <v>0</v>
      </c>
      <c r="J34" s="5">
        <v>0.1111</v>
      </c>
      <c r="K34" s="5">
        <v>0.44440000000000002</v>
      </c>
      <c r="L34" s="5">
        <v>1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3" t="s">
        <v>4</v>
      </c>
      <c r="B35" s="5">
        <f t="shared" ref="B35:E37" si="14">B8</f>
        <v>4</v>
      </c>
      <c r="C35" s="7">
        <f t="shared" si="14"/>
        <v>3</v>
      </c>
      <c r="D35" s="5">
        <f t="shared" si="14"/>
        <v>1</v>
      </c>
      <c r="E35" s="5">
        <f t="shared" si="14"/>
        <v>2</v>
      </c>
      <c r="F35" s="3">
        <f t="shared" ref="F35:F37" si="15">SUM(B35:E35)</f>
        <v>10</v>
      </c>
      <c r="H35" s="3" t="s">
        <v>4</v>
      </c>
      <c r="I35" s="5">
        <v>0.1111</v>
      </c>
      <c r="J35" s="5">
        <v>0</v>
      </c>
      <c r="K35" s="5">
        <v>0.1111</v>
      </c>
      <c r="L35" s="5">
        <v>0.44440000000000002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3" t="s">
        <v>5</v>
      </c>
      <c r="B36" s="5">
        <f t="shared" si="14"/>
        <v>3</v>
      </c>
      <c r="C36" s="5">
        <f t="shared" si="14"/>
        <v>0</v>
      </c>
      <c r="D36" s="7">
        <f t="shared" si="14"/>
        <v>2</v>
      </c>
      <c r="E36" s="5">
        <f t="shared" si="14"/>
        <v>0</v>
      </c>
      <c r="F36" s="3">
        <f t="shared" si="15"/>
        <v>5</v>
      </c>
      <c r="H36" s="3" t="s">
        <v>5</v>
      </c>
      <c r="I36" s="5">
        <v>0.44440000000000002</v>
      </c>
      <c r="J36" s="5">
        <v>0.1111</v>
      </c>
      <c r="K36" s="5">
        <v>0</v>
      </c>
      <c r="L36" s="5">
        <v>0.1111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3" t="s">
        <v>29</v>
      </c>
      <c r="B37" s="5">
        <f t="shared" si="14"/>
        <v>1</v>
      </c>
      <c r="C37" s="5">
        <f t="shared" si="14"/>
        <v>2</v>
      </c>
      <c r="D37" s="5">
        <f t="shared" si="14"/>
        <v>0</v>
      </c>
      <c r="E37" s="7">
        <f t="shared" si="14"/>
        <v>5</v>
      </c>
      <c r="F37" s="3">
        <f t="shared" si="15"/>
        <v>8</v>
      </c>
      <c r="H37" s="3" t="s">
        <v>29</v>
      </c>
      <c r="I37" s="5">
        <v>1</v>
      </c>
      <c r="J37" s="5">
        <v>0.44440000000000002</v>
      </c>
      <c r="K37" s="5">
        <v>0.1111</v>
      </c>
      <c r="L37" s="5">
        <v>0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3" t="s">
        <v>6</v>
      </c>
      <c r="B38" s="3">
        <f>SUM(B34:B37)</f>
        <v>28</v>
      </c>
      <c r="C38" s="3">
        <f t="shared" ref="C38:E38" si="16">SUM(C34:C37)</f>
        <v>9</v>
      </c>
      <c r="D38" s="3">
        <f t="shared" si="16"/>
        <v>5</v>
      </c>
      <c r="E38" s="3">
        <f t="shared" si="16"/>
        <v>8</v>
      </c>
      <c r="F38" s="3">
        <f>SUM(B38:E38)</f>
        <v>50</v>
      </c>
      <c r="L38" s="10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2" t="s">
        <v>22</v>
      </c>
      <c r="B40"/>
      <c r="M40" s="9"/>
      <c r="N40" s="9"/>
      <c r="O40" s="21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3"/>
      <c r="B42" s="3"/>
      <c r="C42" s="3" t="s">
        <v>1</v>
      </c>
      <c r="D42" s="3"/>
      <c r="E42" s="3"/>
      <c r="F42" s="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3" t="s">
        <v>2</v>
      </c>
      <c r="B43" s="3" t="s">
        <v>3</v>
      </c>
      <c r="C43" s="3" t="s">
        <v>4</v>
      </c>
      <c r="D43" s="3" t="s">
        <v>5</v>
      </c>
      <c r="E43" s="3" t="s">
        <v>29</v>
      </c>
      <c r="F43" s="3" t="s">
        <v>6</v>
      </c>
      <c r="H43" s="2" t="s">
        <v>9</v>
      </c>
      <c r="I43" s="2">
        <f>1-(K43/K44)</f>
        <v>0.50520043217467514</v>
      </c>
      <c r="J43" s="11" t="s">
        <v>30</v>
      </c>
      <c r="K43" s="2">
        <f>SUMPRODUCT(B34:E37,I34:L37)</f>
        <v>6.9994999999999994</v>
      </c>
      <c r="L43" s="2"/>
      <c r="M43" s="9"/>
      <c r="N43" s="9"/>
      <c r="O43" s="9"/>
      <c r="P43" s="9"/>
      <c r="Q43" s="9"/>
      <c r="R43" s="9"/>
      <c r="S43" s="9"/>
      <c r="T43" s="9"/>
      <c r="U43" s="22"/>
      <c r="V43" s="22"/>
      <c r="W43" s="9"/>
      <c r="X43" s="22"/>
      <c r="Y43" s="9"/>
      <c r="Z43" s="9"/>
    </row>
    <row r="44" spans="1:26" x14ac:dyDescent="0.3">
      <c r="A44" s="3" t="s">
        <v>3</v>
      </c>
      <c r="B44" s="7">
        <f t="shared" ref="B44:E47" si="17">B$11*$F34/$F$11</f>
        <v>15.12</v>
      </c>
      <c r="C44" s="5">
        <f t="shared" si="17"/>
        <v>4.8600000000000003</v>
      </c>
      <c r="D44" s="5">
        <f t="shared" si="17"/>
        <v>2.7</v>
      </c>
      <c r="E44" s="5">
        <f t="shared" si="17"/>
        <v>4.32</v>
      </c>
      <c r="F44" s="3">
        <f>SUM(B44:E44)</f>
        <v>27</v>
      </c>
      <c r="J44" s="11" t="s">
        <v>31</v>
      </c>
      <c r="K44" s="2">
        <f>SUMPRODUCT(B44:E47,I34:L37)</f>
        <v>14.146132000000001</v>
      </c>
      <c r="L44" s="2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22"/>
      <c r="Y44" s="9"/>
      <c r="Z44" s="9"/>
    </row>
    <row r="45" spans="1:26" x14ac:dyDescent="0.3">
      <c r="A45" s="3" t="s">
        <v>4</v>
      </c>
      <c r="B45" s="5">
        <f t="shared" si="17"/>
        <v>5.6</v>
      </c>
      <c r="C45" s="7">
        <f t="shared" si="17"/>
        <v>1.8</v>
      </c>
      <c r="D45" s="5">
        <f t="shared" si="17"/>
        <v>1</v>
      </c>
      <c r="E45" s="5">
        <f t="shared" si="17"/>
        <v>1.6</v>
      </c>
      <c r="F45" s="3">
        <f t="shared" ref="F45:F47" si="18">SUM(B45:E45)</f>
        <v>9.9999999999999982</v>
      </c>
      <c r="H45"/>
      <c r="M45" s="9"/>
      <c r="N45" s="9"/>
      <c r="O45" s="9"/>
      <c r="P45" s="9"/>
      <c r="Q45" s="9"/>
      <c r="R45" s="9"/>
      <c r="S45" s="9"/>
      <c r="T45" s="9"/>
      <c r="U45" s="21"/>
      <c r="V45" s="9"/>
      <c r="W45" s="9"/>
      <c r="X45" s="9"/>
      <c r="Y45" s="9"/>
      <c r="Z45" s="9"/>
    </row>
    <row r="46" spans="1:26" x14ac:dyDescent="0.3">
      <c r="A46" s="3" t="s">
        <v>5</v>
      </c>
      <c r="B46" s="5">
        <f t="shared" si="17"/>
        <v>2.8</v>
      </c>
      <c r="C46" s="5">
        <f t="shared" si="17"/>
        <v>0.9</v>
      </c>
      <c r="D46" s="7">
        <f t="shared" si="17"/>
        <v>0.5</v>
      </c>
      <c r="E46" s="5">
        <f t="shared" si="17"/>
        <v>0.8</v>
      </c>
      <c r="F46" s="3">
        <f t="shared" si="18"/>
        <v>4.9999999999999991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3" t="s">
        <v>29</v>
      </c>
      <c r="B47" s="5">
        <f t="shared" si="17"/>
        <v>4.4800000000000004</v>
      </c>
      <c r="C47" s="5">
        <f t="shared" si="17"/>
        <v>1.44</v>
      </c>
      <c r="D47" s="5">
        <f t="shared" si="17"/>
        <v>0.8</v>
      </c>
      <c r="E47" s="7">
        <f t="shared" si="17"/>
        <v>1.28</v>
      </c>
      <c r="F47" s="3">
        <f t="shared" si="18"/>
        <v>8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3" t="s">
        <v>6</v>
      </c>
      <c r="B48" s="3">
        <f>SUM(B44:B47)</f>
        <v>28</v>
      </c>
      <c r="C48" s="3">
        <f t="shared" ref="C48:E48" si="19">SUM(C44:C47)</f>
        <v>9</v>
      </c>
      <c r="D48" s="3">
        <f t="shared" si="19"/>
        <v>5</v>
      </c>
      <c r="E48" s="3">
        <f t="shared" si="19"/>
        <v>8</v>
      </c>
      <c r="F48" s="3">
        <f>SUM(B48:E48)</f>
        <v>50</v>
      </c>
      <c r="H48"/>
      <c r="M48" s="9"/>
      <c r="N48" s="9"/>
      <c r="O48" s="9"/>
      <c r="P48" s="9"/>
      <c r="Q48" s="9"/>
      <c r="R48" s="9"/>
      <c r="S48" s="9"/>
      <c r="T48" s="9"/>
      <c r="U48" s="21"/>
      <c r="V48" s="9"/>
      <c r="W48" s="9"/>
      <c r="X48" s="9"/>
      <c r="Y48" s="9"/>
      <c r="Z48" s="9"/>
    </row>
    <row r="49" spans="13:26" x14ac:dyDescent="0.3"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3:26" x14ac:dyDescent="0.3"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94F9-2408-48F3-837D-CC34A5D9B884}">
  <dimension ref="A2:AC54"/>
  <sheetViews>
    <sheetView zoomScale="85" zoomScaleNormal="85" workbookViewId="0">
      <selection activeCell="U17" sqref="U17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9" x14ac:dyDescent="0.3">
      <c r="A2" s="2"/>
    </row>
    <row r="3" spans="1:29" x14ac:dyDescent="0.3">
      <c r="A3" s="2" t="s">
        <v>21</v>
      </c>
      <c r="O3" s="2"/>
      <c r="P3" s="2" t="s">
        <v>21</v>
      </c>
    </row>
    <row r="4" spans="1:29" x14ac:dyDescent="0.3">
      <c r="I4" s="6" t="s">
        <v>16</v>
      </c>
      <c r="X4" s="6" t="s">
        <v>18</v>
      </c>
    </row>
    <row r="5" spans="1:29" x14ac:dyDescent="0.3">
      <c r="A5" s="3"/>
      <c r="B5" s="3"/>
      <c r="C5" s="3" t="s">
        <v>1</v>
      </c>
      <c r="D5" s="3"/>
      <c r="E5" s="3"/>
      <c r="F5" s="3"/>
      <c r="G5" s="3"/>
      <c r="I5" s="3"/>
      <c r="J5" s="3"/>
      <c r="K5" s="3" t="s">
        <v>14</v>
      </c>
      <c r="L5" s="3"/>
      <c r="M5" s="23"/>
      <c r="N5" s="3"/>
      <c r="P5" s="3"/>
      <c r="Q5" s="3"/>
      <c r="R5" s="3" t="s">
        <v>1</v>
      </c>
      <c r="S5" s="3"/>
      <c r="T5" s="3"/>
      <c r="U5" s="3"/>
      <c r="V5" s="3"/>
      <c r="X5" s="3"/>
      <c r="Y5" s="3"/>
      <c r="Z5" s="3" t="s">
        <v>14</v>
      </c>
      <c r="AA5" s="3"/>
      <c r="AB5" s="3"/>
      <c r="AC5" s="3"/>
    </row>
    <row r="6" spans="1:29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6</v>
      </c>
      <c r="I6" s="3"/>
      <c r="J6" s="3" t="s">
        <v>3</v>
      </c>
      <c r="K6" s="3" t="s">
        <v>4</v>
      </c>
      <c r="L6" s="3" t="s">
        <v>5</v>
      </c>
      <c r="M6" s="23" t="s">
        <v>29</v>
      </c>
      <c r="N6" s="3" t="s">
        <v>32</v>
      </c>
      <c r="P6" s="3" t="s">
        <v>2</v>
      </c>
      <c r="Q6" s="3" t="s">
        <v>3</v>
      </c>
      <c r="R6" s="3" t="s">
        <v>4</v>
      </c>
      <c r="S6" s="3" t="s">
        <v>5</v>
      </c>
      <c r="T6" s="3" t="s">
        <v>29</v>
      </c>
      <c r="U6" s="3" t="s">
        <v>32</v>
      </c>
      <c r="V6" s="3" t="s">
        <v>6</v>
      </c>
      <c r="X6" s="3"/>
      <c r="Y6" s="3" t="s">
        <v>3</v>
      </c>
      <c r="Z6" s="3" t="s">
        <v>4</v>
      </c>
      <c r="AA6" s="3" t="s">
        <v>5</v>
      </c>
      <c r="AB6" s="3" t="s">
        <v>29</v>
      </c>
      <c r="AC6" s="3" t="s">
        <v>32</v>
      </c>
    </row>
    <row r="7" spans="1:29" x14ac:dyDescent="0.3">
      <c r="A7" s="3" t="s">
        <v>3</v>
      </c>
      <c r="B7" s="7">
        <v>7</v>
      </c>
      <c r="C7" s="5">
        <v>3</v>
      </c>
      <c r="D7" s="5">
        <v>2</v>
      </c>
      <c r="E7" s="5">
        <v>1</v>
      </c>
      <c r="F7" s="5">
        <v>0</v>
      </c>
      <c r="G7" s="3">
        <f>SUM(B7:F7)</f>
        <v>13</v>
      </c>
      <c r="I7" s="3" t="s">
        <v>3</v>
      </c>
      <c r="J7" s="5">
        <v>0</v>
      </c>
      <c r="K7" s="5">
        <v>1</v>
      </c>
      <c r="L7" s="5">
        <v>2</v>
      </c>
      <c r="M7" s="24">
        <v>3</v>
      </c>
      <c r="N7" s="5">
        <v>4</v>
      </c>
      <c r="P7" s="3" t="s">
        <v>3</v>
      </c>
      <c r="Q7" s="7">
        <f>B7</f>
        <v>7</v>
      </c>
      <c r="R7" s="5">
        <f>C7</f>
        <v>3</v>
      </c>
      <c r="S7" s="5">
        <f>D7</f>
        <v>2</v>
      </c>
      <c r="T7" s="5">
        <f>E7</f>
        <v>1</v>
      </c>
      <c r="U7" s="5">
        <f>F7</f>
        <v>0</v>
      </c>
      <c r="V7" s="3">
        <f>SUM(Q7:T7)</f>
        <v>13</v>
      </c>
      <c r="X7" s="3" t="s">
        <v>3</v>
      </c>
      <c r="Y7" s="5">
        <v>0</v>
      </c>
      <c r="Z7" s="5">
        <v>1</v>
      </c>
      <c r="AA7" s="5">
        <v>1</v>
      </c>
      <c r="AB7" s="5">
        <v>1</v>
      </c>
      <c r="AC7" s="3">
        <v>1</v>
      </c>
    </row>
    <row r="8" spans="1:29" x14ac:dyDescent="0.3">
      <c r="A8" s="3" t="s">
        <v>4</v>
      </c>
      <c r="B8" s="5">
        <v>2</v>
      </c>
      <c r="C8" s="7">
        <v>6</v>
      </c>
      <c r="D8" s="5">
        <v>1</v>
      </c>
      <c r="E8" s="5">
        <v>2</v>
      </c>
      <c r="F8" s="5">
        <v>1</v>
      </c>
      <c r="G8" s="3">
        <f>SUM(B8:F8)</f>
        <v>12</v>
      </c>
      <c r="I8" s="3" t="s">
        <v>4</v>
      </c>
      <c r="J8" s="5">
        <v>1</v>
      </c>
      <c r="K8" s="5">
        <v>0</v>
      </c>
      <c r="L8" s="5">
        <v>1</v>
      </c>
      <c r="M8" s="24">
        <v>2</v>
      </c>
      <c r="N8" s="5">
        <v>3</v>
      </c>
      <c r="P8" s="3" t="s">
        <v>4</v>
      </c>
      <c r="Q8" s="5">
        <f t="shared" ref="Q8:Q11" si="0">B8</f>
        <v>2</v>
      </c>
      <c r="R8" s="7">
        <f t="shared" ref="R8:T11" si="1">C8</f>
        <v>6</v>
      </c>
      <c r="S8" s="5">
        <f t="shared" si="1"/>
        <v>1</v>
      </c>
      <c r="T8" s="5">
        <f t="shared" si="1"/>
        <v>2</v>
      </c>
      <c r="U8" s="5">
        <f t="shared" ref="U8:U11" si="2">F8</f>
        <v>1</v>
      </c>
      <c r="V8" s="3">
        <f t="shared" ref="V8:V11" si="3">SUM(Q8:T8)</f>
        <v>11</v>
      </c>
      <c r="X8" s="3" t="s">
        <v>4</v>
      </c>
      <c r="Y8" s="5">
        <v>1</v>
      </c>
      <c r="Z8" s="5">
        <v>0</v>
      </c>
      <c r="AA8" s="5">
        <v>1</v>
      </c>
      <c r="AB8" s="5">
        <v>1</v>
      </c>
      <c r="AC8" s="3">
        <v>1</v>
      </c>
    </row>
    <row r="9" spans="1:29" x14ac:dyDescent="0.3">
      <c r="A9" s="3" t="s">
        <v>5</v>
      </c>
      <c r="B9" s="5">
        <v>2</v>
      </c>
      <c r="C9" s="5">
        <v>0</v>
      </c>
      <c r="D9" s="7">
        <v>7</v>
      </c>
      <c r="E9" s="5">
        <v>0</v>
      </c>
      <c r="F9" s="5">
        <v>1</v>
      </c>
      <c r="G9" s="3">
        <f>SUM(B9:F9)</f>
        <v>10</v>
      </c>
      <c r="I9" s="3" t="s">
        <v>5</v>
      </c>
      <c r="J9" s="5">
        <v>2</v>
      </c>
      <c r="K9" s="5">
        <v>1</v>
      </c>
      <c r="L9" s="5">
        <v>0</v>
      </c>
      <c r="M9" s="24">
        <v>1</v>
      </c>
      <c r="N9" s="5">
        <v>2</v>
      </c>
      <c r="P9" s="3" t="s">
        <v>5</v>
      </c>
      <c r="Q9" s="5">
        <f t="shared" si="0"/>
        <v>2</v>
      </c>
      <c r="R9" s="5">
        <f t="shared" si="1"/>
        <v>0</v>
      </c>
      <c r="S9" s="7">
        <f t="shared" si="1"/>
        <v>7</v>
      </c>
      <c r="T9" s="5">
        <f t="shared" si="1"/>
        <v>0</v>
      </c>
      <c r="U9" s="5">
        <f t="shared" si="2"/>
        <v>1</v>
      </c>
      <c r="V9" s="3">
        <f t="shared" si="3"/>
        <v>9</v>
      </c>
      <c r="X9" s="3" t="s">
        <v>5</v>
      </c>
      <c r="Y9" s="5">
        <v>1</v>
      </c>
      <c r="Z9" s="5">
        <v>1</v>
      </c>
      <c r="AA9" s="5">
        <v>0</v>
      </c>
      <c r="AB9" s="5">
        <v>1</v>
      </c>
      <c r="AC9" s="3">
        <v>1</v>
      </c>
    </row>
    <row r="10" spans="1:29" x14ac:dyDescent="0.3">
      <c r="A10" s="3" t="s">
        <v>29</v>
      </c>
      <c r="B10" s="5">
        <v>1</v>
      </c>
      <c r="C10" s="5">
        <v>1</v>
      </c>
      <c r="D10" s="5">
        <v>0</v>
      </c>
      <c r="E10" s="7">
        <v>5</v>
      </c>
      <c r="F10" s="5">
        <v>0</v>
      </c>
      <c r="G10" s="3">
        <f>SUM(B10:F10)</f>
        <v>7</v>
      </c>
      <c r="I10" s="3" t="s">
        <v>29</v>
      </c>
      <c r="J10" s="5">
        <v>3</v>
      </c>
      <c r="K10" s="5">
        <v>2</v>
      </c>
      <c r="L10" s="5">
        <v>1</v>
      </c>
      <c r="M10" s="24">
        <v>0</v>
      </c>
      <c r="N10" s="5">
        <v>1</v>
      </c>
      <c r="P10" s="3" t="s">
        <v>29</v>
      </c>
      <c r="Q10" s="5">
        <f t="shared" si="0"/>
        <v>1</v>
      </c>
      <c r="R10" s="5">
        <f t="shared" si="1"/>
        <v>1</v>
      </c>
      <c r="S10" s="5">
        <f t="shared" si="1"/>
        <v>0</v>
      </c>
      <c r="T10" s="7">
        <f t="shared" si="1"/>
        <v>5</v>
      </c>
      <c r="U10" s="5">
        <f t="shared" si="2"/>
        <v>0</v>
      </c>
      <c r="V10" s="3">
        <f t="shared" si="3"/>
        <v>7</v>
      </c>
      <c r="X10" s="3" t="s">
        <v>29</v>
      </c>
      <c r="Y10" s="5">
        <v>1</v>
      </c>
      <c r="Z10" s="5">
        <v>1</v>
      </c>
      <c r="AA10" s="5">
        <v>1</v>
      </c>
      <c r="AB10" s="5">
        <v>0</v>
      </c>
      <c r="AC10" s="3">
        <v>1</v>
      </c>
    </row>
    <row r="11" spans="1:29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5</v>
      </c>
      <c r="G11" s="3">
        <f>SUM(B11:F11)</f>
        <v>8</v>
      </c>
      <c r="I11" s="3" t="s">
        <v>32</v>
      </c>
      <c r="J11" s="5">
        <v>4</v>
      </c>
      <c r="K11" s="5">
        <v>3</v>
      </c>
      <c r="L11" s="5">
        <v>2</v>
      </c>
      <c r="M11" s="5">
        <v>1</v>
      </c>
      <c r="N11" s="5">
        <v>0</v>
      </c>
      <c r="P11" s="3" t="s">
        <v>32</v>
      </c>
      <c r="Q11" s="5">
        <f t="shared" si="0"/>
        <v>0</v>
      </c>
      <c r="R11" s="5">
        <f t="shared" si="1"/>
        <v>0</v>
      </c>
      <c r="S11" s="5">
        <f t="shared" si="1"/>
        <v>2</v>
      </c>
      <c r="T11" s="5">
        <f t="shared" si="1"/>
        <v>1</v>
      </c>
      <c r="U11" s="7">
        <f t="shared" si="2"/>
        <v>5</v>
      </c>
      <c r="V11" s="3">
        <f t="shared" si="3"/>
        <v>3</v>
      </c>
      <c r="X11" s="3" t="s">
        <v>32</v>
      </c>
      <c r="Y11" s="5">
        <v>1</v>
      </c>
      <c r="Z11" s="5">
        <v>1</v>
      </c>
      <c r="AA11" s="5">
        <v>1</v>
      </c>
      <c r="AB11" s="5">
        <v>1</v>
      </c>
      <c r="AC11" s="3">
        <v>0</v>
      </c>
    </row>
    <row r="12" spans="1:29" x14ac:dyDescent="0.3">
      <c r="A12" s="3" t="s">
        <v>6</v>
      </c>
      <c r="B12" s="3">
        <f>SUM(B7:B11)</f>
        <v>12</v>
      </c>
      <c r="C12" s="3">
        <f>SUM(C7:C11)</f>
        <v>10</v>
      </c>
      <c r="D12" s="3">
        <f>SUM(D7:D11)</f>
        <v>12</v>
      </c>
      <c r="E12" s="3">
        <f>SUM(E7:E11)</f>
        <v>9</v>
      </c>
      <c r="F12" s="3">
        <f>SUM(F7:F11)</f>
        <v>7</v>
      </c>
      <c r="G12" s="3">
        <f>SUM(B7:F11)</f>
        <v>50</v>
      </c>
      <c r="M12" s="10"/>
      <c r="N12" s="10"/>
      <c r="P12" s="3" t="s">
        <v>6</v>
      </c>
      <c r="Q12" s="3">
        <f>SUM(Q7:Q11)</f>
        <v>12</v>
      </c>
      <c r="R12" s="3">
        <f>SUM(R7:R11)</f>
        <v>10</v>
      </c>
      <c r="S12" s="3">
        <f>SUM(S7:S11)</f>
        <v>12</v>
      </c>
      <c r="T12" s="3">
        <f>SUM(T7:T11)</f>
        <v>9</v>
      </c>
      <c r="U12" s="3">
        <f>SUM(U7:U11)</f>
        <v>7</v>
      </c>
      <c r="V12" s="3">
        <f>SUM(Q7:U11)</f>
        <v>50</v>
      </c>
    </row>
    <row r="14" spans="1:29" x14ac:dyDescent="0.3">
      <c r="A14" s="2" t="s">
        <v>22</v>
      </c>
      <c r="B14"/>
      <c r="P14" s="2" t="s">
        <v>22</v>
      </c>
      <c r="Q14"/>
    </row>
    <row r="16" spans="1:29" x14ac:dyDescent="0.3">
      <c r="A16" s="3"/>
      <c r="B16" s="3"/>
      <c r="C16" s="3" t="s">
        <v>1</v>
      </c>
      <c r="D16" s="3"/>
      <c r="E16" s="3"/>
      <c r="F16" s="3"/>
      <c r="G16" s="3"/>
      <c r="P16" s="3"/>
      <c r="Q16" s="3"/>
      <c r="R16" s="3" t="s">
        <v>1</v>
      </c>
      <c r="S16" s="3"/>
      <c r="T16" s="3"/>
      <c r="U16" s="3"/>
      <c r="V16" s="3"/>
    </row>
    <row r="17" spans="1:29" x14ac:dyDescent="0.3">
      <c r="A17" s="3" t="s">
        <v>2</v>
      </c>
      <c r="B17" s="3" t="s">
        <v>3</v>
      </c>
      <c r="C17" s="3" t="s">
        <v>4</v>
      </c>
      <c r="D17" s="3" t="s">
        <v>5</v>
      </c>
      <c r="E17" s="3" t="s">
        <v>29</v>
      </c>
      <c r="F17" s="3" t="s">
        <v>32</v>
      </c>
      <c r="G17" s="3" t="s">
        <v>6</v>
      </c>
      <c r="I17" s="2" t="s">
        <v>9</v>
      </c>
      <c r="J17" s="2">
        <f>1-(M17/M18)</f>
        <v>0.53798767967145777</v>
      </c>
      <c r="L17" s="11" t="s">
        <v>19</v>
      </c>
      <c r="M17" s="2">
        <f>SUMPRODUCT(B7:F11,J7:N11)</f>
        <v>36</v>
      </c>
      <c r="N17" s="2"/>
      <c r="P17" s="3" t="s">
        <v>2</v>
      </c>
      <c r="Q17" s="3" t="s">
        <v>3</v>
      </c>
      <c r="R17" s="3" t="s">
        <v>4</v>
      </c>
      <c r="S17" s="3" t="s">
        <v>5</v>
      </c>
      <c r="T17" s="3" t="s">
        <v>29</v>
      </c>
      <c r="U17" s="3" t="s">
        <v>32</v>
      </c>
      <c r="V17" s="3" t="s">
        <v>6</v>
      </c>
      <c r="X17" s="2" t="s">
        <v>9</v>
      </c>
      <c r="Y17" s="2">
        <f>1-(AB17/AB18)</f>
        <v>0.49622166246851385</v>
      </c>
      <c r="AA17" s="11" t="s">
        <v>19</v>
      </c>
      <c r="AB17" s="2">
        <f>SUMPRODUCT(Q7:U11,Y7:AC11)</f>
        <v>20</v>
      </c>
    </row>
    <row r="18" spans="1:29" x14ac:dyDescent="0.3">
      <c r="A18" s="3" t="s">
        <v>3</v>
      </c>
      <c r="B18" s="7">
        <f>B$12*$G7/$G$12</f>
        <v>3.12</v>
      </c>
      <c r="C18" s="5">
        <f t="shared" ref="C18:F18" si="4">C$12*$G7/$G$12</f>
        <v>2.6</v>
      </c>
      <c r="D18" s="5">
        <f t="shared" si="4"/>
        <v>3.12</v>
      </c>
      <c r="E18" s="5">
        <f t="shared" si="4"/>
        <v>2.34</v>
      </c>
      <c r="F18" s="5">
        <f t="shared" si="4"/>
        <v>1.82</v>
      </c>
      <c r="G18" s="3">
        <f>SUM(B18:F18)</f>
        <v>13</v>
      </c>
      <c r="L18" s="11" t="s">
        <v>20</v>
      </c>
      <c r="M18" s="2">
        <f>SUMPRODUCT(B18:F22,J7:N11)</f>
        <v>77.919999999999973</v>
      </c>
      <c r="N18" s="2"/>
      <c r="P18" s="3" t="s">
        <v>3</v>
      </c>
      <c r="Q18" s="7">
        <f>Q$12*$G7/$G$12</f>
        <v>3.12</v>
      </c>
      <c r="R18" s="5">
        <f t="shared" ref="R18:U18" si="5">R$12*$G7/$G$12</f>
        <v>2.6</v>
      </c>
      <c r="S18" s="5">
        <f t="shared" si="5"/>
        <v>3.12</v>
      </c>
      <c r="T18" s="5">
        <f t="shared" si="5"/>
        <v>2.34</v>
      </c>
      <c r="U18" s="5">
        <f t="shared" si="5"/>
        <v>1.82</v>
      </c>
      <c r="V18" s="3">
        <f>SUM(Q18:U18)</f>
        <v>13</v>
      </c>
      <c r="AA18" s="11" t="s">
        <v>20</v>
      </c>
      <c r="AB18" s="2">
        <f>SUMPRODUCT(Q18:U22,Y7:AC11)</f>
        <v>39.699999999999996</v>
      </c>
    </row>
    <row r="19" spans="1:29" x14ac:dyDescent="0.3">
      <c r="A19" s="3" t="s">
        <v>4</v>
      </c>
      <c r="B19" s="5">
        <f t="shared" ref="B19:F19" si="6">B$12*$G8/$G$12</f>
        <v>2.88</v>
      </c>
      <c r="C19" s="7">
        <f t="shared" si="6"/>
        <v>2.4</v>
      </c>
      <c r="D19" s="5">
        <f t="shared" si="6"/>
        <v>2.88</v>
      </c>
      <c r="E19" s="5">
        <f t="shared" si="6"/>
        <v>2.16</v>
      </c>
      <c r="F19" s="5">
        <f t="shared" si="6"/>
        <v>1.68</v>
      </c>
      <c r="G19" s="3">
        <f t="shared" ref="G19:G22" si="7">SUM(B19:F19)</f>
        <v>12</v>
      </c>
      <c r="I19"/>
      <c r="P19" s="3" t="s">
        <v>4</v>
      </c>
      <c r="Q19" s="5">
        <f t="shared" ref="Q19:U19" si="8">Q$12*$G8/$G$12</f>
        <v>2.88</v>
      </c>
      <c r="R19" s="7">
        <f t="shared" si="8"/>
        <v>2.4</v>
      </c>
      <c r="S19" s="5">
        <f t="shared" si="8"/>
        <v>2.88</v>
      </c>
      <c r="T19" s="5">
        <f t="shared" si="8"/>
        <v>2.16</v>
      </c>
      <c r="U19" s="5">
        <f t="shared" si="8"/>
        <v>1.68</v>
      </c>
      <c r="V19" s="3">
        <f t="shared" ref="V19:V22" si="9">SUM(Q19:U19)</f>
        <v>12</v>
      </c>
    </row>
    <row r="20" spans="1:29" x14ac:dyDescent="0.3">
      <c r="A20" s="3" t="s">
        <v>5</v>
      </c>
      <c r="B20" s="5">
        <f t="shared" ref="B20:F20" si="10">B$12*$G9/$G$12</f>
        <v>2.4</v>
      </c>
      <c r="C20" s="5">
        <f t="shared" si="10"/>
        <v>2</v>
      </c>
      <c r="D20" s="7">
        <f t="shared" si="10"/>
        <v>2.4</v>
      </c>
      <c r="E20" s="5">
        <f t="shared" si="10"/>
        <v>1.8</v>
      </c>
      <c r="F20" s="5">
        <f t="shared" si="10"/>
        <v>1.4</v>
      </c>
      <c r="G20" s="3">
        <f t="shared" si="7"/>
        <v>10.000000000000002</v>
      </c>
      <c r="L20" s="11" t="s">
        <v>23</v>
      </c>
      <c r="M20" s="1">
        <f>1-(M17/M18)</f>
        <v>0.53798767967145777</v>
      </c>
      <c r="P20" s="3" t="s">
        <v>5</v>
      </c>
      <c r="Q20" s="5">
        <f t="shared" ref="Q20:U20" si="11">Q$12*$G9/$G$12</f>
        <v>2.4</v>
      </c>
      <c r="R20" s="5">
        <f t="shared" si="11"/>
        <v>2</v>
      </c>
      <c r="S20" s="7">
        <f t="shared" si="11"/>
        <v>2.4</v>
      </c>
      <c r="T20" s="5">
        <f t="shared" si="11"/>
        <v>1.8</v>
      </c>
      <c r="U20" s="5">
        <f t="shared" si="11"/>
        <v>1.4</v>
      </c>
      <c r="V20" s="3">
        <f t="shared" si="9"/>
        <v>10.000000000000002</v>
      </c>
      <c r="AA20" s="11" t="s">
        <v>23</v>
      </c>
      <c r="AB20" s="1">
        <f>1-(AB17/AB18)</f>
        <v>0.49622166246851385</v>
      </c>
    </row>
    <row r="21" spans="1:29" x14ac:dyDescent="0.3">
      <c r="A21" s="3" t="s">
        <v>29</v>
      </c>
      <c r="B21" s="5">
        <f t="shared" ref="B21:F21" si="12">B$12*$G10/$G$12</f>
        <v>1.68</v>
      </c>
      <c r="C21" s="5">
        <f t="shared" si="12"/>
        <v>1.4</v>
      </c>
      <c r="D21" s="5">
        <f t="shared" si="12"/>
        <v>1.68</v>
      </c>
      <c r="E21" s="7">
        <f t="shared" si="12"/>
        <v>1.26</v>
      </c>
      <c r="F21" s="5">
        <f t="shared" si="12"/>
        <v>0.98</v>
      </c>
      <c r="G21" s="3">
        <f t="shared" si="7"/>
        <v>7</v>
      </c>
      <c r="L21" s="11"/>
      <c r="P21" s="3" t="s">
        <v>29</v>
      </c>
      <c r="Q21" s="5">
        <f t="shared" ref="Q21:U21" si="13">Q$12*$G10/$G$12</f>
        <v>1.68</v>
      </c>
      <c r="R21" s="5">
        <f t="shared" si="13"/>
        <v>1.4</v>
      </c>
      <c r="S21" s="5">
        <f t="shared" si="13"/>
        <v>1.68</v>
      </c>
      <c r="T21" s="7">
        <f t="shared" si="13"/>
        <v>1.26</v>
      </c>
      <c r="U21" s="5">
        <f t="shared" si="13"/>
        <v>0.98</v>
      </c>
      <c r="V21" s="3">
        <f t="shared" si="9"/>
        <v>7</v>
      </c>
      <c r="AA21" s="11"/>
    </row>
    <row r="22" spans="1:29" x14ac:dyDescent="0.3">
      <c r="A22" s="3" t="s">
        <v>32</v>
      </c>
      <c r="B22" s="5">
        <f t="shared" ref="B22:F22" si="14">B$12*$G11/$G$12</f>
        <v>1.92</v>
      </c>
      <c r="C22" s="5">
        <f t="shared" si="14"/>
        <v>1.6</v>
      </c>
      <c r="D22" s="5">
        <f t="shared" si="14"/>
        <v>1.92</v>
      </c>
      <c r="E22" s="5">
        <f t="shared" si="14"/>
        <v>1.44</v>
      </c>
      <c r="F22" s="7">
        <f t="shared" si="14"/>
        <v>1.1200000000000001</v>
      </c>
      <c r="G22" s="3">
        <f t="shared" si="7"/>
        <v>7.9999999999999991</v>
      </c>
      <c r="L22" s="11"/>
      <c r="P22" s="3" t="s">
        <v>32</v>
      </c>
      <c r="Q22" s="5">
        <f t="shared" ref="Q22:U22" si="15">Q$12*$G11/$G$12</f>
        <v>1.92</v>
      </c>
      <c r="R22" s="5">
        <f t="shared" si="15"/>
        <v>1.6</v>
      </c>
      <c r="S22" s="5">
        <f t="shared" si="15"/>
        <v>1.92</v>
      </c>
      <c r="T22" s="5">
        <f t="shared" si="15"/>
        <v>1.44</v>
      </c>
      <c r="U22" s="7">
        <f t="shared" si="15"/>
        <v>1.1200000000000001</v>
      </c>
      <c r="V22" s="3">
        <f t="shared" si="9"/>
        <v>7.9999999999999991</v>
      </c>
      <c r="AA22" s="11"/>
    </row>
    <row r="23" spans="1:29" x14ac:dyDescent="0.3">
      <c r="A23" s="3" t="s">
        <v>6</v>
      </c>
      <c r="B23" s="3">
        <f>SUM(B18:B22)</f>
        <v>12</v>
      </c>
      <c r="C23" s="3">
        <f t="shared" ref="C23:F23" si="16">SUM(C18:C22)</f>
        <v>10</v>
      </c>
      <c r="D23" s="3">
        <f t="shared" si="16"/>
        <v>12</v>
      </c>
      <c r="E23" s="3">
        <f t="shared" si="16"/>
        <v>9</v>
      </c>
      <c r="F23" s="3">
        <f t="shared" si="16"/>
        <v>7.0000000000000009</v>
      </c>
      <c r="G23" s="3">
        <f>SUM(B18:F22)</f>
        <v>49.999999999999986</v>
      </c>
      <c r="I23"/>
      <c r="P23" s="3" t="s">
        <v>6</v>
      </c>
      <c r="Q23" s="3">
        <f>SUM(Q18:Q22)</f>
        <v>12</v>
      </c>
      <c r="R23" s="3">
        <f t="shared" ref="R23:U23" si="17">SUM(R18:R22)</f>
        <v>10</v>
      </c>
      <c r="S23" s="3">
        <f t="shared" si="17"/>
        <v>12</v>
      </c>
      <c r="T23" s="3">
        <f t="shared" si="17"/>
        <v>9</v>
      </c>
      <c r="U23" s="3">
        <f t="shared" si="17"/>
        <v>7.0000000000000009</v>
      </c>
      <c r="V23" s="3">
        <f>SUM(Q18:U22)</f>
        <v>49.999999999999986</v>
      </c>
    </row>
    <row r="24" spans="1:29" x14ac:dyDescent="0.3">
      <c r="K24"/>
    </row>
    <row r="27" spans="1:29" x14ac:dyDescent="0.3">
      <c r="P27"/>
    </row>
    <row r="28" spans="1:29" x14ac:dyDescent="0.3">
      <c r="P28"/>
    </row>
    <row r="32" spans="1:29" x14ac:dyDescent="0.3">
      <c r="A32" s="2" t="s">
        <v>21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3">
      <c r="I33" s="6" t="s">
        <v>17</v>
      </c>
      <c r="O33" s="9"/>
      <c r="P33" s="9"/>
      <c r="Q33" s="9"/>
      <c r="R33" s="9"/>
      <c r="S33" s="9"/>
      <c r="T33" s="9"/>
      <c r="U33" s="9"/>
      <c r="V33" s="9"/>
      <c r="W33" s="9"/>
      <c r="X33" s="20"/>
      <c r="Y33" s="9"/>
      <c r="Z33" s="9"/>
      <c r="AA33" s="9"/>
      <c r="AB33" s="9"/>
      <c r="AC33" s="9"/>
    </row>
    <row r="34" spans="1:29" x14ac:dyDescent="0.3">
      <c r="A34" s="3"/>
      <c r="B34" s="3"/>
      <c r="C34" s="3" t="s">
        <v>1</v>
      </c>
      <c r="D34" s="3"/>
      <c r="E34" s="3"/>
      <c r="F34" s="3"/>
      <c r="G34" s="3"/>
      <c r="I34" s="3"/>
      <c r="J34" s="3"/>
      <c r="K34" s="3" t="s">
        <v>14</v>
      </c>
      <c r="L34" s="23"/>
      <c r="M34" s="3"/>
      <c r="N34" s="3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3">
      <c r="A35" s="3" t="s">
        <v>2</v>
      </c>
      <c r="B35" s="3" t="s">
        <v>3</v>
      </c>
      <c r="C35" s="3" t="s">
        <v>4</v>
      </c>
      <c r="D35" s="3" t="s">
        <v>5</v>
      </c>
      <c r="E35" s="3" t="s">
        <v>29</v>
      </c>
      <c r="F35" s="3" t="s">
        <v>32</v>
      </c>
      <c r="G35" s="3" t="s">
        <v>6</v>
      </c>
      <c r="I35" s="3"/>
      <c r="J35" s="3" t="s">
        <v>3</v>
      </c>
      <c r="K35" s="3" t="s">
        <v>4</v>
      </c>
      <c r="L35" s="23" t="s">
        <v>5</v>
      </c>
      <c r="M35" s="3" t="s">
        <v>29</v>
      </c>
      <c r="N35" s="3" t="s">
        <v>32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3">
      <c r="A36" s="3" t="s">
        <v>3</v>
      </c>
      <c r="B36" s="7">
        <f>B7</f>
        <v>7</v>
      </c>
      <c r="C36" s="5">
        <f t="shared" ref="C36:F36" si="18">C7</f>
        <v>3</v>
      </c>
      <c r="D36" s="5">
        <f t="shared" si="18"/>
        <v>2</v>
      </c>
      <c r="E36" s="5">
        <f t="shared" si="18"/>
        <v>1</v>
      </c>
      <c r="F36" s="5">
        <f t="shared" si="18"/>
        <v>0</v>
      </c>
      <c r="G36" s="3">
        <f>SUM(B36:F36)</f>
        <v>13</v>
      </c>
      <c r="I36" s="3" t="s">
        <v>3</v>
      </c>
      <c r="J36" s="5">
        <v>0</v>
      </c>
      <c r="K36" s="5">
        <v>6.25E-2</v>
      </c>
      <c r="L36" s="5">
        <v>0.25</v>
      </c>
      <c r="M36" s="5">
        <v>0.5625</v>
      </c>
      <c r="N36" s="5">
        <v>1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3">
      <c r="A37" s="3" t="s">
        <v>4</v>
      </c>
      <c r="B37" s="5">
        <f>B8</f>
        <v>2</v>
      </c>
      <c r="C37" s="7">
        <f t="shared" ref="C37:E39" si="19">C8</f>
        <v>6</v>
      </c>
      <c r="D37" s="5">
        <f t="shared" si="19"/>
        <v>1</v>
      </c>
      <c r="E37" s="5">
        <f t="shared" si="19"/>
        <v>2</v>
      </c>
      <c r="F37" s="5">
        <f t="shared" ref="F37" si="20">F8</f>
        <v>1</v>
      </c>
      <c r="G37" s="3">
        <f t="shared" ref="G37:G40" si="21">SUM(B37:F37)</f>
        <v>12</v>
      </c>
      <c r="I37" s="3" t="s">
        <v>4</v>
      </c>
      <c r="J37" s="5">
        <v>6.25E-2</v>
      </c>
      <c r="K37" s="5">
        <v>0</v>
      </c>
      <c r="L37" s="5">
        <v>6.25E-2</v>
      </c>
      <c r="M37" s="5">
        <v>0.25</v>
      </c>
      <c r="N37" s="5">
        <v>0.5625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3">
      <c r="A38" s="3" t="s">
        <v>5</v>
      </c>
      <c r="B38" s="5">
        <f>B9</f>
        <v>2</v>
      </c>
      <c r="C38" s="5">
        <f t="shared" si="19"/>
        <v>0</v>
      </c>
      <c r="D38" s="7">
        <f t="shared" si="19"/>
        <v>7</v>
      </c>
      <c r="E38" s="5">
        <f t="shared" si="19"/>
        <v>0</v>
      </c>
      <c r="F38" s="5">
        <f t="shared" ref="F38" si="22">F9</f>
        <v>1</v>
      </c>
      <c r="G38" s="3">
        <f t="shared" si="21"/>
        <v>10</v>
      </c>
      <c r="I38" s="3" t="s">
        <v>5</v>
      </c>
      <c r="J38" s="5">
        <v>0.25</v>
      </c>
      <c r="K38" s="5">
        <v>6.25E-2</v>
      </c>
      <c r="L38" s="5">
        <v>0</v>
      </c>
      <c r="M38" s="5">
        <v>6.25E-2</v>
      </c>
      <c r="N38" s="5">
        <v>0.25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3">
      <c r="A39" s="3" t="s">
        <v>29</v>
      </c>
      <c r="B39" s="5">
        <f>B10</f>
        <v>1</v>
      </c>
      <c r="C39" s="5">
        <f t="shared" si="19"/>
        <v>1</v>
      </c>
      <c r="D39" s="5">
        <f t="shared" si="19"/>
        <v>0</v>
      </c>
      <c r="E39" s="7">
        <f t="shared" si="19"/>
        <v>5</v>
      </c>
      <c r="F39" s="5">
        <f t="shared" ref="F39:F40" si="23">F10</f>
        <v>0</v>
      </c>
      <c r="G39" s="3">
        <f t="shared" si="21"/>
        <v>7</v>
      </c>
      <c r="I39" s="25" t="s">
        <v>29</v>
      </c>
      <c r="J39" s="26">
        <v>0.5625</v>
      </c>
      <c r="K39" s="26">
        <v>0.25</v>
      </c>
      <c r="L39" s="26">
        <v>6.25E-2</v>
      </c>
      <c r="M39" s="26">
        <v>0</v>
      </c>
      <c r="N39" s="5">
        <v>6.25E-2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3">
      <c r="A40" s="3" t="s">
        <v>32</v>
      </c>
      <c r="B40" s="5">
        <f>B11</f>
        <v>0</v>
      </c>
      <c r="C40" s="5">
        <f t="shared" ref="C40:E40" si="24">C11</f>
        <v>0</v>
      </c>
      <c r="D40" s="5">
        <f t="shared" si="24"/>
        <v>2</v>
      </c>
      <c r="E40" s="5">
        <f t="shared" si="24"/>
        <v>1</v>
      </c>
      <c r="F40" s="7">
        <f t="shared" si="23"/>
        <v>5</v>
      </c>
      <c r="G40" s="3">
        <f t="shared" si="21"/>
        <v>8</v>
      </c>
      <c r="I40" s="3" t="s">
        <v>32</v>
      </c>
      <c r="J40" s="5">
        <v>1</v>
      </c>
      <c r="K40" s="5">
        <v>0.5625</v>
      </c>
      <c r="L40" s="5">
        <v>0.25</v>
      </c>
      <c r="M40" s="5">
        <v>6.25E-2</v>
      </c>
      <c r="N40" s="5">
        <v>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3">
      <c r="A41" s="3" t="s">
        <v>6</v>
      </c>
      <c r="B41" s="3">
        <f>SUM(B36:B39)</f>
        <v>12</v>
      </c>
      <c r="C41" s="3">
        <f t="shared" ref="C41:F41" si="25">SUM(C36:C39)</f>
        <v>10</v>
      </c>
      <c r="D41" s="3">
        <f t="shared" si="25"/>
        <v>10</v>
      </c>
      <c r="E41" s="3">
        <f t="shared" si="25"/>
        <v>8</v>
      </c>
      <c r="F41" s="3">
        <f t="shared" si="25"/>
        <v>2</v>
      </c>
      <c r="G41" s="3">
        <f>SUM(B36:F40)</f>
        <v>50</v>
      </c>
      <c r="M41" s="10"/>
      <c r="N41" s="10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3"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3">
      <c r="A43" s="2" t="s">
        <v>22</v>
      </c>
      <c r="B43"/>
      <c r="O43" s="9"/>
      <c r="P43" s="9"/>
      <c r="Q43" s="21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3"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3">
      <c r="A45" s="3"/>
      <c r="B45" s="3"/>
      <c r="C45" s="3" t="s">
        <v>1</v>
      </c>
      <c r="D45" s="3"/>
      <c r="E45" s="3"/>
      <c r="F45" s="3"/>
      <c r="G45" s="3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3">
      <c r="A46" s="3" t="s">
        <v>2</v>
      </c>
      <c r="B46" s="3" t="s">
        <v>3</v>
      </c>
      <c r="C46" s="3" t="s">
        <v>4</v>
      </c>
      <c r="D46" s="3" t="s">
        <v>5</v>
      </c>
      <c r="E46" s="3" t="s">
        <v>29</v>
      </c>
      <c r="F46" s="3" t="s">
        <v>32</v>
      </c>
      <c r="G46" s="3" t="s">
        <v>6</v>
      </c>
      <c r="I46" s="2" t="s">
        <v>9</v>
      </c>
      <c r="J46" s="2">
        <f>1-(L46/L47)</f>
        <v>0.61337513061650983</v>
      </c>
      <c r="K46" s="11" t="s">
        <v>30</v>
      </c>
      <c r="L46" s="2">
        <f>SUMPRODUCT(B36:F40,J36:N40)</f>
        <v>4.625</v>
      </c>
      <c r="M46" s="2"/>
      <c r="N46" s="2"/>
      <c r="O46" s="9"/>
      <c r="P46" s="9"/>
      <c r="Q46" s="9"/>
      <c r="R46" s="9"/>
      <c r="S46" s="9"/>
      <c r="T46" s="9"/>
      <c r="U46" s="9"/>
      <c r="V46" s="9"/>
      <c r="W46" s="9"/>
      <c r="X46" s="22"/>
      <c r="Y46" s="22"/>
      <c r="Z46" s="9"/>
      <c r="AA46" s="22"/>
      <c r="AB46" s="9"/>
      <c r="AC46" s="9"/>
    </row>
    <row r="47" spans="1:29" x14ac:dyDescent="0.3">
      <c r="A47" s="3" t="s">
        <v>3</v>
      </c>
      <c r="B47" s="7">
        <f>B$12*$G36/$G$12</f>
        <v>3.12</v>
      </c>
      <c r="C47" s="5">
        <f t="shared" ref="C47:F47" si="26">C$12*$G36/$G$12</f>
        <v>2.6</v>
      </c>
      <c r="D47" s="5">
        <f t="shared" si="26"/>
        <v>3.12</v>
      </c>
      <c r="E47" s="5">
        <f t="shared" si="26"/>
        <v>2.34</v>
      </c>
      <c r="F47" s="5">
        <f t="shared" si="26"/>
        <v>1.82</v>
      </c>
      <c r="G47" s="3">
        <f>SUM(B47:F47)</f>
        <v>13</v>
      </c>
      <c r="K47" s="11" t="s">
        <v>31</v>
      </c>
      <c r="L47" s="2">
        <f>SUMPRODUCT(B47:F51,J36:N40)</f>
        <v>11.962499999999999</v>
      </c>
      <c r="M47" s="2"/>
      <c r="N47" s="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22"/>
      <c r="AB47" s="9"/>
      <c r="AC47" s="9"/>
    </row>
    <row r="48" spans="1:29" x14ac:dyDescent="0.3">
      <c r="A48" s="3" t="s">
        <v>4</v>
      </c>
      <c r="B48" s="5">
        <f t="shared" ref="B48:F48" si="27">B$12*$G37/$G$12</f>
        <v>2.88</v>
      </c>
      <c r="C48" s="7">
        <f t="shared" si="27"/>
        <v>2.4</v>
      </c>
      <c r="D48" s="5">
        <f t="shared" si="27"/>
        <v>2.88</v>
      </c>
      <c r="E48" s="5">
        <f t="shared" si="27"/>
        <v>2.16</v>
      </c>
      <c r="F48" s="5">
        <f t="shared" si="27"/>
        <v>1.68</v>
      </c>
      <c r="G48" s="3">
        <f t="shared" ref="G48:G51" si="28">SUM(B48:F48)</f>
        <v>12</v>
      </c>
      <c r="I48"/>
      <c r="O48" s="9"/>
      <c r="P48" s="9"/>
      <c r="Q48" s="9"/>
      <c r="R48" s="9"/>
      <c r="S48" s="9"/>
      <c r="T48" s="9"/>
      <c r="U48" s="9"/>
      <c r="V48" s="9"/>
      <c r="W48" s="9"/>
      <c r="X48" s="21"/>
      <c r="Y48" s="9"/>
      <c r="Z48" s="9"/>
      <c r="AA48" s="9"/>
      <c r="AB48" s="9"/>
      <c r="AC48" s="9"/>
    </row>
    <row r="49" spans="1:29" x14ac:dyDescent="0.3">
      <c r="A49" s="3" t="s">
        <v>5</v>
      </c>
      <c r="B49" s="5">
        <f t="shared" ref="B49:F49" si="29">B$12*$G38/$G$12</f>
        <v>2.4</v>
      </c>
      <c r="C49" s="5">
        <f t="shared" si="29"/>
        <v>2</v>
      </c>
      <c r="D49" s="7">
        <f t="shared" si="29"/>
        <v>2.4</v>
      </c>
      <c r="E49" s="5">
        <f t="shared" si="29"/>
        <v>1.8</v>
      </c>
      <c r="F49" s="5">
        <f t="shared" si="29"/>
        <v>1.4</v>
      </c>
      <c r="G49" s="3">
        <f t="shared" si="28"/>
        <v>10.000000000000002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3">
      <c r="A50" s="3" t="s">
        <v>29</v>
      </c>
      <c r="B50" s="5">
        <f t="shared" ref="B50:F50" si="30">B$12*$G39/$G$12</f>
        <v>1.68</v>
      </c>
      <c r="C50" s="5">
        <f t="shared" si="30"/>
        <v>1.4</v>
      </c>
      <c r="D50" s="5">
        <f t="shared" si="30"/>
        <v>1.68</v>
      </c>
      <c r="E50" s="7">
        <f t="shared" si="30"/>
        <v>1.26</v>
      </c>
      <c r="F50" s="5">
        <f t="shared" si="30"/>
        <v>0.98</v>
      </c>
      <c r="G50" s="3">
        <f t="shared" si="28"/>
        <v>7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3">
      <c r="A51" s="3" t="s">
        <v>32</v>
      </c>
      <c r="B51" s="5">
        <f t="shared" ref="B51:F51" si="31">B$12*$G40/$G$12</f>
        <v>1.92</v>
      </c>
      <c r="C51" s="5">
        <f t="shared" si="31"/>
        <v>1.6</v>
      </c>
      <c r="D51" s="5">
        <f t="shared" si="31"/>
        <v>1.92</v>
      </c>
      <c r="E51" s="5">
        <f t="shared" si="31"/>
        <v>1.44</v>
      </c>
      <c r="F51" s="7">
        <f t="shared" si="31"/>
        <v>1.1200000000000001</v>
      </c>
      <c r="G51" s="3">
        <f t="shared" si="28"/>
        <v>7.9999999999999991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3">
      <c r="A52" s="3" t="s">
        <v>6</v>
      </c>
      <c r="B52" s="3">
        <f>SUM(B47:B51)</f>
        <v>12</v>
      </c>
      <c r="C52" s="3">
        <f t="shared" ref="C52:F52" si="32">SUM(C47:C51)</f>
        <v>10</v>
      </c>
      <c r="D52" s="3">
        <f t="shared" si="32"/>
        <v>12</v>
      </c>
      <c r="E52" s="3">
        <f t="shared" si="32"/>
        <v>9</v>
      </c>
      <c r="F52" s="3">
        <f t="shared" si="32"/>
        <v>7.0000000000000009</v>
      </c>
      <c r="G52" s="3">
        <f>SUM(B47:F51)</f>
        <v>49.999999999999986</v>
      </c>
      <c r="I52"/>
      <c r="O52" s="9"/>
      <c r="P52" s="9"/>
      <c r="Q52" s="9"/>
      <c r="R52" s="9"/>
      <c r="S52" s="9"/>
      <c r="T52" s="9"/>
      <c r="U52" s="9"/>
      <c r="V52" s="9"/>
      <c r="W52" s="9"/>
      <c r="X52" s="21"/>
      <c r="Y52" s="9"/>
      <c r="Z52" s="9"/>
      <c r="AA52" s="9"/>
      <c r="AB52" s="9"/>
      <c r="AC52" s="9"/>
    </row>
    <row r="53" spans="1:29" x14ac:dyDescent="0.3"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3"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04B7-9B28-48F7-AA13-F64A6146D9D3}">
  <dimension ref="A2:AC54"/>
  <sheetViews>
    <sheetView topLeftCell="A10" zoomScale="85" zoomScaleNormal="85" workbookViewId="0">
      <selection activeCell="Q30" sqref="Q30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29" x14ac:dyDescent="0.3">
      <c r="A2" s="2"/>
    </row>
    <row r="3" spans="1:29" x14ac:dyDescent="0.3">
      <c r="A3" s="2" t="s">
        <v>21</v>
      </c>
      <c r="O3" s="2"/>
      <c r="P3" s="2" t="s">
        <v>21</v>
      </c>
    </row>
    <row r="4" spans="1:29" x14ac:dyDescent="0.3">
      <c r="I4" s="6" t="s">
        <v>16</v>
      </c>
      <c r="X4" s="6" t="s">
        <v>18</v>
      </c>
    </row>
    <row r="5" spans="1:29" x14ac:dyDescent="0.3">
      <c r="A5" s="3"/>
      <c r="B5" s="3"/>
      <c r="C5" s="3" t="s">
        <v>1</v>
      </c>
      <c r="D5" s="3"/>
      <c r="E5" s="3"/>
      <c r="F5" s="3"/>
      <c r="G5" s="3"/>
      <c r="I5" s="3"/>
      <c r="J5" s="3"/>
      <c r="K5" s="3" t="s">
        <v>14</v>
      </c>
      <c r="L5" s="3"/>
      <c r="M5" s="23"/>
      <c r="N5" s="3"/>
      <c r="P5" s="3"/>
      <c r="Q5" s="3"/>
      <c r="R5" s="3" t="s">
        <v>1</v>
      </c>
      <c r="S5" s="3"/>
      <c r="T5" s="3"/>
      <c r="U5" s="3"/>
      <c r="V5" s="3"/>
      <c r="X5" s="3"/>
      <c r="Y5" s="3"/>
      <c r="Z5" s="3" t="s">
        <v>14</v>
      </c>
      <c r="AA5" s="3"/>
      <c r="AB5" s="3"/>
      <c r="AC5" s="3"/>
    </row>
    <row r="6" spans="1:29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6</v>
      </c>
      <c r="I6" s="3"/>
      <c r="J6" s="3" t="s">
        <v>3</v>
      </c>
      <c r="K6" s="3" t="s">
        <v>4</v>
      </c>
      <c r="L6" s="3" t="s">
        <v>5</v>
      </c>
      <c r="M6" s="23" t="s">
        <v>29</v>
      </c>
      <c r="N6" s="3" t="s">
        <v>32</v>
      </c>
      <c r="P6" s="3" t="s">
        <v>2</v>
      </c>
      <c r="Q6" s="3" t="s">
        <v>3</v>
      </c>
      <c r="R6" s="3" t="s">
        <v>4</v>
      </c>
      <c r="S6" s="3" t="s">
        <v>5</v>
      </c>
      <c r="T6" s="3" t="s">
        <v>29</v>
      </c>
      <c r="U6" s="3" t="s">
        <v>32</v>
      </c>
      <c r="V6" s="3" t="s">
        <v>6</v>
      </c>
      <c r="X6" s="3"/>
      <c r="Y6" s="3" t="s">
        <v>3</v>
      </c>
      <c r="Z6" s="3" t="s">
        <v>4</v>
      </c>
      <c r="AA6" s="3" t="s">
        <v>5</v>
      </c>
      <c r="AB6" s="3" t="s">
        <v>29</v>
      </c>
      <c r="AC6" s="3" t="s">
        <v>32</v>
      </c>
    </row>
    <row r="7" spans="1:29" x14ac:dyDescent="0.3">
      <c r="A7" s="3" t="s">
        <v>3</v>
      </c>
      <c r="B7" s="7">
        <v>22</v>
      </c>
      <c r="C7" s="5">
        <v>3</v>
      </c>
      <c r="D7" s="5">
        <v>2</v>
      </c>
      <c r="E7" s="5">
        <v>1</v>
      </c>
      <c r="F7" s="5">
        <v>0</v>
      </c>
      <c r="G7" s="3">
        <f>SUM(B7:F7)</f>
        <v>28</v>
      </c>
      <c r="I7" s="3" t="s">
        <v>3</v>
      </c>
      <c r="J7" s="5">
        <v>0</v>
      </c>
      <c r="K7" s="5">
        <v>1</v>
      </c>
      <c r="L7" s="5">
        <v>2</v>
      </c>
      <c r="M7" s="24">
        <v>3</v>
      </c>
      <c r="N7" s="5">
        <v>4</v>
      </c>
      <c r="P7" s="3" t="s">
        <v>3</v>
      </c>
      <c r="Q7" s="7">
        <f>B7</f>
        <v>22</v>
      </c>
      <c r="R7" s="5">
        <f>C7</f>
        <v>3</v>
      </c>
      <c r="S7" s="5">
        <f>D7</f>
        <v>2</v>
      </c>
      <c r="T7" s="5">
        <f>E7</f>
        <v>1</v>
      </c>
      <c r="U7" s="5">
        <f>F7</f>
        <v>0</v>
      </c>
      <c r="V7" s="3">
        <f>SUM(Q7:T7)</f>
        <v>28</v>
      </c>
      <c r="X7" s="3" t="s">
        <v>3</v>
      </c>
      <c r="Y7" s="5">
        <v>0</v>
      </c>
      <c r="Z7" s="5">
        <v>1</v>
      </c>
      <c r="AA7" s="5">
        <v>1</v>
      </c>
      <c r="AB7" s="5">
        <v>1</v>
      </c>
      <c r="AC7" s="5">
        <v>1</v>
      </c>
    </row>
    <row r="8" spans="1:29" x14ac:dyDescent="0.3">
      <c r="A8" s="3" t="s">
        <v>4</v>
      </c>
      <c r="B8" s="5">
        <v>2</v>
      </c>
      <c r="C8" s="7">
        <v>2</v>
      </c>
      <c r="D8" s="5">
        <v>1</v>
      </c>
      <c r="E8" s="5">
        <v>2</v>
      </c>
      <c r="F8" s="5">
        <v>1</v>
      </c>
      <c r="G8" s="3">
        <f>SUM(B8:F8)</f>
        <v>8</v>
      </c>
      <c r="I8" s="3" t="s">
        <v>4</v>
      </c>
      <c r="J8" s="5">
        <v>1</v>
      </c>
      <c r="K8" s="5">
        <v>0</v>
      </c>
      <c r="L8" s="5">
        <v>1</v>
      </c>
      <c r="M8" s="24">
        <v>2</v>
      </c>
      <c r="N8" s="5">
        <v>3</v>
      </c>
      <c r="P8" s="3" t="s">
        <v>4</v>
      </c>
      <c r="Q8" s="5">
        <f t="shared" ref="Q8:Q11" si="0">B8</f>
        <v>2</v>
      </c>
      <c r="R8" s="7">
        <f t="shared" ref="R8:T11" si="1">C8</f>
        <v>2</v>
      </c>
      <c r="S8" s="5">
        <f t="shared" si="1"/>
        <v>1</v>
      </c>
      <c r="T8" s="5">
        <f t="shared" si="1"/>
        <v>2</v>
      </c>
      <c r="U8" s="5">
        <f t="shared" ref="U8:U11" si="2">F8</f>
        <v>1</v>
      </c>
      <c r="V8" s="3">
        <f t="shared" ref="V8:V11" si="3">SUM(Q8:T8)</f>
        <v>7</v>
      </c>
      <c r="X8" s="3" t="s">
        <v>4</v>
      </c>
      <c r="Y8" s="5">
        <v>1</v>
      </c>
      <c r="Z8" s="5">
        <v>0</v>
      </c>
      <c r="AA8" s="5">
        <v>1</v>
      </c>
      <c r="AB8" s="5">
        <v>1</v>
      </c>
      <c r="AC8" s="5">
        <v>1</v>
      </c>
    </row>
    <row r="9" spans="1:29" x14ac:dyDescent="0.3">
      <c r="A9" s="3" t="s">
        <v>5</v>
      </c>
      <c r="B9" s="5">
        <v>2</v>
      </c>
      <c r="C9" s="5">
        <v>0</v>
      </c>
      <c r="D9" s="7">
        <v>1</v>
      </c>
      <c r="E9" s="5">
        <v>0</v>
      </c>
      <c r="F9" s="5">
        <v>1</v>
      </c>
      <c r="G9" s="3">
        <f>SUM(B9:F9)</f>
        <v>4</v>
      </c>
      <c r="I9" s="3" t="s">
        <v>5</v>
      </c>
      <c r="J9" s="5">
        <v>2</v>
      </c>
      <c r="K9" s="5">
        <v>1</v>
      </c>
      <c r="L9" s="5">
        <v>0</v>
      </c>
      <c r="M9" s="24">
        <v>1</v>
      </c>
      <c r="N9" s="5">
        <v>2</v>
      </c>
      <c r="P9" s="3" t="s">
        <v>5</v>
      </c>
      <c r="Q9" s="5">
        <f t="shared" si="0"/>
        <v>2</v>
      </c>
      <c r="R9" s="5">
        <f t="shared" si="1"/>
        <v>0</v>
      </c>
      <c r="S9" s="7">
        <f t="shared" si="1"/>
        <v>1</v>
      </c>
      <c r="T9" s="5">
        <f t="shared" si="1"/>
        <v>0</v>
      </c>
      <c r="U9" s="5">
        <f t="shared" si="2"/>
        <v>1</v>
      </c>
      <c r="V9" s="3">
        <f t="shared" si="3"/>
        <v>3</v>
      </c>
      <c r="X9" s="3" t="s">
        <v>5</v>
      </c>
      <c r="Y9" s="5">
        <v>1</v>
      </c>
      <c r="Z9" s="5">
        <v>1</v>
      </c>
      <c r="AA9" s="5">
        <v>0</v>
      </c>
      <c r="AB9" s="5">
        <v>1</v>
      </c>
      <c r="AC9" s="5">
        <v>1</v>
      </c>
    </row>
    <row r="10" spans="1:29" x14ac:dyDescent="0.3">
      <c r="A10" s="3" t="s">
        <v>29</v>
      </c>
      <c r="B10" s="5">
        <v>1</v>
      </c>
      <c r="C10" s="5">
        <v>1</v>
      </c>
      <c r="D10" s="5">
        <v>0</v>
      </c>
      <c r="E10" s="7">
        <v>3</v>
      </c>
      <c r="F10" s="5">
        <v>0</v>
      </c>
      <c r="G10" s="3">
        <f>SUM(B10:F10)</f>
        <v>5</v>
      </c>
      <c r="I10" s="3" t="s">
        <v>29</v>
      </c>
      <c r="J10" s="5">
        <v>3</v>
      </c>
      <c r="K10" s="5">
        <v>2</v>
      </c>
      <c r="L10" s="5">
        <v>1</v>
      </c>
      <c r="M10" s="24">
        <v>0</v>
      </c>
      <c r="N10" s="5">
        <v>1</v>
      </c>
      <c r="P10" s="3" t="s">
        <v>29</v>
      </c>
      <c r="Q10" s="5">
        <f t="shared" si="0"/>
        <v>1</v>
      </c>
      <c r="R10" s="5">
        <f t="shared" si="1"/>
        <v>1</v>
      </c>
      <c r="S10" s="5">
        <f t="shared" si="1"/>
        <v>0</v>
      </c>
      <c r="T10" s="7">
        <f t="shared" si="1"/>
        <v>3</v>
      </c>
      <c r="U10" s="5">
        <f t="shared" si="2"/>
        <v>0</v>
      </c>
      <c r="V10" s="3">
        <f t="shared" si="3"/>
        <v>5</v>
      </c>
      <c r="X10" s="3" t="s">
        <v>29</v>
      </c>
      <c r="Y10" s="5">
        <v>1</v>
      </c>
      <c r="Z10" s="5">
        <v>1</v>
      </c>
      <c r="AA10" s="5">
        <v>1</v>
      </c>
      <c r="AB10" s="5">
        <v>0</v>
      </c>
      <c r="AC10" s="5">
        <v>1</v>
      </c>
    </row>
    <row r="11" spans="1:29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2</v>
      </c>
      <c r="G11" s="3">
        <f>SUM(B11:F11)</f>
        <v>5</v>
      </c>
      <c r="I11" s="3" t="s">
        <v>32</v>
      </c>
      <c r="J11" s="5">
        <v>4</v>
      </c>
      <c r="K11" s="5">
        <v>3</v>
      </c>
      <c r="L11" s="5">
        <v>2</v>
      </c>
      <c r="M11" s="5">
        <v>1</v>
      </c>
      <c r="N11" s="5">
        <v>0</v>
      </c>
      <c r="P11" s="3" t="s">
        <v>32</v>
      </c>
      <c r="Q11" s="5">
        <f t="shared" si="0"/>
        <v>0</v>
      </c>
      <c r="R11" s="5">
        <f t="shared" si="1"/>
        <v>0</v>
      </c>
      <c r="S11" s="5">
        <f t="shared" si="1"/>
        <v>2</v>
      </c>
      <c r="T11" s="5">
        <f t="shared" si="1"/>
        <v>1</v>
      </c>
      <c r="U11" s="7">
        <f t="shared" si="2"/>
        <v>2</v>
      </c>
      <c r="V11" s="3">
        <f t="shared" si="3"/>
        <v>3</v>
      </c>
      <c r="X11" s="3" t="s">
        <v>32</v>
      </c>
      <c r="Y11" s="5">
        <v>1</v>
      </c>
      <c r="Z11" s="5">
        <v>1</v>
      </c>
      <c r="AA11" s="5">
        <v>1</v>
      </c>
      <c r="AB11" s="5">
        <v>1</v>
      </c>
      <c r="AC11" s="5">
        <v>0</v>
      </c>
    </row>
    <row r="12" spans="1:29" x14ac:dyDescent="0.3">
      <c r="A12" s="3" t="s">
        <v>6</v>
      </c>
      <c r="B12" s="3">
        <f>SUM(B7:B11)</f>
        <v>27</v>
      </c>
      <c r="C12" s="3">
        <f>SUM(C7:C11)</f>
        <v>6</v>
      </c>
      <c r="D12" s="3">
        <f>SUM(D7:D11)</f>
        <v>6</v>
      </c>
      <c r="E12" s="3">
        <f>SUM(E7:E11)</f>
        <v>7</v>
      </c>
      <c r="F12" s="3">
        <f>SUM(F7:F11)</f>
        <v>4</v>
      </c>
      <c r="G12" s="3">
        <f>SUM(B7:F11)</f>
        <v>50</v>
      </c>
      <c r="M12" s="10"/>
      <c r="N12" s="10"/>
      <c r="P12" s="3" t="s">
        <v>6</v>
      </c>
      <c r="Q12" s="3">
        <f>SUM(Q7:Q11)</f>
        <v>27</v>
      </c>
      <c r="R12" s="3">
        <f>SUM(R7:R11)</f>
        <v>6</v>
      </c>
      <c r="S12" s="3">
        <f>SUM(S7:S11)</f>
        <v>6</v>
      </c>
      <c r="T12" s="3">
        <f>SUM(T7:T11)</f>
        <v>7</v>
      </c>
      <c r="U12" s="3">
        <f>SUM(U7:U11)</f>
        <v>4</v>
      </c>
      <c r="V12" s="3">
        <f>SUM(Q7:U11)</f>
        <v>50</v>
      </c>
    </row>
    <row r="14" spans="1:29" x14ac:dyDescent="0.3">
      <c r="A14" s="2" t="s">
        <v>22</v>
      </c>
      <c r="B14"/>
      <c r="P14" s="2" t="s">
        <v>22</v>
      </c>
      <c r="Q14"/>
    </row>
    <row r="16" spans="1:29" x14ac:dyDescent="0.3">
      <c r="A16" s="3"/>
      <c r="B16" s="3"/>
      <c r="C16" s="3" t="s">
        <v>1</v>
      </c>
      <c r="D16" s="3"/>
      <c r="E16" s="3"/>
      <c r="F16" s="3"/>
      <c r="G16" s="3"/>
      <c r="P16" s="3"/>
      <c r="Q16" s="3"/>
      <c r="R16" s="3" t="s">
        <v>1</v>
      </c>
      <c r="S16" s="3"/>
      <c r="T16" s="3"/>
      <c r="U16" s="3"/>
      <c r="V16" s="3"/>
    </row>
    <row r="17" spans="1:29" x14ac:dyDescent="0.3">
      <c r="A17" s="3" t="s">
        <v>2</v>
      </c>
      <c r="B17" s="3" t="s">
        <v>3</v>
      </c>
      <c r="C17" s="3" t="s">
        <v>4</v>
      </c>
      <c r="D17" s="3" t="s">
        <v>5</v>
      </c>
      <c r="E17" s="3" t="s">
        <v>29</v>
      </c>
      <c r="F17" s="3" t="s">
        <v>32</v>
      </c>
      <c r="G17" s="3" t="s">
        <v>6</v>
      </c>
      <c r="I17" s="2" t="s">
        <v>9</v>
      </c>
      <c r="J17" s="2">
        <f>1-(M17/M18)</f>
        <v>0.49324324324324342</v>
      </c>
      <c r="L17" s="11" t="s">
        <v>19</v>
      </c>
      <c r="M17" s="2">
        <f>SUMPRODUCT(B7:F11,J7:N11)</f>
        <v>36</v>
      </c>
      <c r="N17" s="2"/>
      <c r="P17" s="3" t="s">
        <v>2</v>
      </c>
      <c r="Q17" s="3" t="s">
        <v>3</v>
      </c>
      <c r="R17" s="3" t="s">
        <v>4</v>
      </c>
      <c r="S17" s="3" t="s">
        <v>5</v>
      </c>
      <c r="T17" s="3" t="s">
        <v>29</v>
      </c>
      <c r="U17" s="3" t="s">
        <v>32</v>
      </c>
      <c r="V17" s="3" t="s">
        <v>6</v>
      </c>
      <c r="X17" s="2" t="s">
        <v>9</v>
      </c>
      <c r="Y17" s="2">
        <f>1-(AB17/AB18)</f>
        <v>0.38157081014223893</v>
      </c>
      <c r="AA17" s="11" t="s">
        <v>19</v>
      </c>
      <c r="AB17" s="2">
        <f>SUMPRODUCT(Q7:U11,Y7:AC11)</f>
        <v>20</v>
      </c>
    </row>
    <row r="18" spans="1:29" x14ac:dyDescent="0.3">
      <c r="A18" s="3" t="s">
        <v>3</v>
      </c>
      <c r="B18" s="7">
        <f>B$12*$G7/$G$12</f>
        <v>15.12</v>
      </c>
      <c r="C18" s="5">
        <f t="shared" ref="C18:F18" si="4">C$12*$G7/$G$12</f>
        <v>3.36</v>
      </c>
      <c r="D18" s="5">
        <f t="shared" si="4"/>
        <v>3.36</v>
      </c>
      <c r="E18" s="5">
        <f t="shared" si="4"/>
        <v>3.92</v>
      </c>
      <c r="F18" s="5">
        <f t="shared" si="4"/>
        <v>2.2400000000000002</v>
      </c>
      <c r="G18" s="3">
        <f>SUM(B18:F18)</f>
        <v>28</v>
      </c>
      <c r="L18" s="11" t="s">
        <v>20</v>
      </c>
      <c r="M18" s="2">
        <f>SUMPRODUCT(B18:F22,J7:N11)</f>
        <v>71.04000000000002</v>
      </c>
      <c r="N18" s="2"/>
      <c r="P18" s="3" t="s">
        <v>3</v>
      </c>
      <c r="Q18" s="7">
        <f>Q$12*$G7/$G$12</f>
        <v>15.12</v>
      </c>
      <c r="R18" s="5">
        <f t="shared" ref="R18:U18" si="5">R$12*$G7/$G$12</f>
        <v>3.36</v>
      </c>
      <c r="S18" s="5">
        <f t="shared" si="5"/>
        <v>3.36</v>
      </c>
      <c r="T18" s="5">
        <f t="shared" si="5"/>
        <v>3.92</v>
      </c>
      <c r="U18" s="5">
        <f t="shared" si="5"/>
        <v>2.2400000000000002</v>
      </c>
      <c r="V18" s="3">
        <f>SUM(Q18:U18)</f>
        <v>28</v>
      </c>
      <c r="AA18" s="11" t="s">
        <v>20</v>
      </c>
      <c r="AB18" s="2">
        <f>SUMPRODUCT(Q18:U22,Y7:AC11)</f>
        <v>32.340000000000011</v>
      </c>
    </row>
    <row r="19" spans="1:29" x14ac:dyDescent="0.3">
      <c r="A19" s="3" t="s">
        <v>4</v>
      </c>
      <c r="B19" s="5">
        <f t="shared" ref="B19:F22" si="6">B$12*$G8/$G$12</f>
        <v>4.32</v>
      </c>
      <c r="C19" s="7">
        <f t="shared" si="6"/>
        <v>0.96</v>
      </c>
      <c r="D19" s="5">
        <f t="shared" si="6"/>
        <v>0.96</v>
      </c>
      <c r="E19" s="5">
        <f t="shared" si="6"/>
        <v>1.1200000000000001</v>
      </c>
      <c r="F19" s="5">
        <f t="shared" si="6"/>
        <v>0.64</v>
      </c>
      <c r="G19" s="3">
        <f t="shared" ref="G19:G22" si="7">SUM(B19:F19)</f>
        <v>8</v>
      </c>
      <c r="I19"/>
      <c r="P19" s="3" t="s">
        <v>4</v>
      </c>
      <c r="Q19" s="5">
        <f t="shared" ref="Q19:U22" si="8">Q$12*$G8/$G$12</f>
        <v>4.32</v>
      </c>
      <c r="R19" s="7">
        <f t="shared" si="8"/>
        <v>0.96</v>
      </c>
      <c r="S19" s="5">
        <f t="shared" si="8"/>
        <v>0.96</v>
      </c>
      <c r="T19" s="5">
        <f t="shared" si="8"/>
        <v>1.1200000000000001</v>
      </c>
      <c r="U19" s="5">
        <f t="shared" si="8"/>
        <v>0.64</v>
      </c>
      <c r="V19" s="3">
        <f t="shared" ref="V19:V22" si="9">SUM(Q19:U19)</f>
        <v>8</v>
      </c>
    </row>
    <row r="20" spans="1:29" x14ac:dyDescent="0.3">
      <c r="A20" s="3" t="s">
        <v>5</v>
      </c>
      <c r="B20" s="5">
        <f t="shared" si="6"/>
        <v>2.16</v>
      </c>
      <c r="C20" s="5">
        <f t="shared" si="6"/>
        <v>0.48</v>
      </c>
      <c r="D20" s="7">
        <f t="shared" si="6"/>
        <v>0.48</v>
      </c>
      <c r="E20" s="5">
        <f t="shared" si="6"/>
        <v>0.56000000000000005</v>
      </c>
      <c r="F20" s="5">
        <f t="shared" si="6"/>
        <v>0.32</v>
      </c>
      <c r="G20" s="3">
        <f t="shared" si="7"/>
        <v>4</v>
      </c>
      <c r="L20" s="11" t="s">
        <v>23</v>
      </c>
      <c r="M20" s="1">
        <f>1-(M17/M18)</f>
        <v>0.49324324324324342</v>
      </c>
      <c r="P20" s="3" t="s">
        <v>5</v>
      </c>
      <c r="Q20" s="5">
        <f t="shared" si="8"/>
        <v>2.16</v>
      </c>
      <c r="R20" s="5">
        <f t="shared" si="8"/>
        <v>0.48</v>
      </c>
      <c r="S20" s="7">
        <f t="shared" si="8"/>
        <v>0.48</v>
      </c>
      <c r="T20" s="5">
        <f t="shared" si="8"/>
        <v>0.56000000000000005</v>
      </c>
      <c r="U20" s="5">
        <f t="shared" si="8"/>
        <v>0.32</v>
      </c>
      <c r="V20" s="3">
        <f t="shared" si="9"/>
        <v>4</v>
      </c>
      <c r="AA20" s="11" t="s">
        <v>23</v>
      </c>
      <c r="AB20" s="1">
        <f>1-(AB17/AB18)</f>
        <v>0.38157081014223893</v>
      </c>
    </row>
    <row r="21" spans="1:29" x14ac:dyDescent="0.3">
      <c r="A21" s="3" t="s">
        <v>29</v>
      </c>
      <c r="B21" s="5">
        <f t="shared" si="6"/>
        <v>2.7</v>
      </c>
      <c r="C21" s="5">
        <f t="shared" si="6"/>
        <v>0.6</v>
      </c>
      <c r="D21" s="5">
        <f t="shared" si="6"/>
        <v>0.6</v>
      </c>
      <c r="E21" s="7">
        <f t="shared" si="6"/>
        <v>0.7</v>
      </c>
      <c r="F21" s="5">
        <f t="shared" si="6"/>
        <v>0.4</v>
      </c>
      <c r="G21" s="3">
        <f t="shared" si="7"/>
        <v>5.0000000000000009</v>
      </c>
      <c r="L21" s="11"/>
      <c r="P21" s="3" t="s">
        <v>29</v>
      </c>
      <c r="Q21" s="5">
        <f t="shared" si="8"/>
        <v>2.7</v>
      </c>
      <c r="R21" s="5">
        <f t="shared" si="8"/>
        <v>0.6</v>
      </c>
      <c r="S21" s="5">
        <f t="shared" si="8"/>
        <v>0.6</v>
      </c>
      <c r="T21" s="7">
        <f t="shared" si="8"/>
        <v>0.7</v>
      </c>
      <c r="U21" s="5">
        <f t="shared" si="8"/>
        <v>0.4</v>
      </c>
      <c r="V21" s="3">
        <f t="shared" si="9"/>
        <v>5.0000000000000009</v>
      </c>
      <c r="AA21" s="11"/>
    </row>
    <row r="22" spans="1:29" x14ac:dyDescent="0.3">
      <c r="A22" s="3" t="s">
        <v>32</v>
      </c>
      <c r="B22" s="5">
        <f t="shared" si="6"/>
        <v>2.7</v>
      </c>
      <c r="C22" s="5">
        <f t="shared" si="6"/>
        <v>0.6</v>
      </c>
      <c r="D22" s="5">
        <f t="shared" si="6"/>
        <v>0.6</v>
      </c>
      <c r="E22" s="5">
        <f t="shared" si="6"/>
        <v>0.7</v>
      </c>
      <c r="F22" s="7">
        <f t="shared" si="6"/>
        <v>0.4</v>
      </c>
      <c r="G22" s="3">
        <f t="shared" si="7"/>
        <v>5.0000000000000009</v>
      </c>
      <c r="L22" s="11"/>
      <c r="P22" s="3" t="s">
        <v>32</v>
      </c>
      <c r="Q22" s="5">
        <f t="shared" si="8"/>
        <v>2.7</v>
      </c>
      <c r="R22" s="5">
        <f t="shared" si="8"/>
        <v>0.6</v>
      </c>
      <c r="S22" s="5">
        <f t="shared" si="8"/>
        <v>0.6</v>
      </c>
      <c r="T22" s="5">
        <f t="shared" si="8"/>
        <v>0.7</v>
      </c>
      <c r="U22" s="7">
        <f t="shared" si="8"/>
        <v>0.4</v>
      </c>
      <c r="V22" s="3">
        <f t="shared" si="9"/>
        <v>5.0000000000000009</v>
      </c>
      <c r="AA22" s="11"/>
    </row>
    <row r="23" spans="1:29" x14ac:dyDescent="0.3">
      <c r="A23" s="3" t="s">
        <v>6</v>
      </c>
      <c r="B23" s="3">
        <f>SUM(B18:B22)</f>
        <v>26.999999999999996</v>
      </c>
      <c r="C23" s="3">
        <f t="shared" ref="C23:F23" si="10">SUM(C18:C22)</f>
        <v>6</v>
      </c>
      <c r="D23" s="3">
        <f t="shared" si="10"/>
        <v>6</v>
      </c>
      <c r="E23" s="3">
        <f t="shared" si="10"/>
        <v>7</v>
      </c>
      <c r="F23" s="3">
        <f t="shared" si="10"/>
        <v>4</v>
      </c>
      <c r="G23" s="3">
        <f>SUM(B18:F22)</f>
        <v>50.000000000000007</v>
      </c>
      <c r="I23"/>
      <c r="P23" s="3" t="s">
        <v>6</v>
      </c>
      <c r="Q23" s="3">
        <f>SUM(Q18:Q22)</f>
        <v>26.999999999999996</v>
      </c>
      <c r="R23" s="3">
        <f t="shared" ref="R23:U23" si="11">SUM(R18:R22)</f>
        <v>6</v>
      </c>
      <c r="S23" s="3">
        <f t="shared" si="11"/>
        <v>6</v>
      </c>
      <c r="T23" s="3">
        <f t="shared" si="11"/>
        <v>7</v>
      </c>
      <c r="U23" s="3">
        <f t="shared" si="11"/>
        <v>4</v>
      </c>
      <c r="V23" s="3">
        <f>SUM(Q18:U22)</f>
        <v>50.000000000000007</v>
      </c>
    </row>
    <row r="24" spans="1:29" x14ac:dyDescent="0.3">
      <c r="K24"/>
    </row>
    <row r="27" spans="1:29" x14ac:dyDescent="0.3">
      <c r="P27"/>
    </row>
    <row r="28" spans="1:29" x14ac:dyDescent="0.3">
      <c r="P28"/>
    </row>
    <row r="32" spans="1:29" x14ac:dyDescent="0.3">
      <c r="A32" s="2" t="s">
        <v>21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3">
      <c r="I33" s="6" t="s">
        <v>17</v>
      </c>
      <c r="O33" s="9"/>
      <c r="P33" s="9"/>
      <c r="Q33" s="9"/>
      <c r="R33" s="9"/>
      <c r="S33" s="9"/>
      <c r="T33" s="9"/>
      <c r="U33" s="9"/>
      <c r="V33" s="9"/>
      <c r="W33" s="9"/>
      <c r="X33" s="20"/>
      <c r="Y33" s="9"/>
      <c r="Z33" s="9"/>
      <c r="AA33" s="9"/>
      <c r="AB33" s="9"/>
      <c r="AC33" s="9"/>
    </row>
    <row r="34" spans="1:29" x14ac:dyDescent="0.3">
      <c r="A34" s="3"/>
      <c r="B34" s="3"/>
      <c r="C34" s="3" t="s">
        <v>1</v>
      </c>
      <c r="D34" s="3"/>
      <c r="E34" s="3"/>
      <c r="F34" s="3"/>
      <c r="G34" s="3"/>
      <c r="I34" s="3"/>
      <c r="J34" s="3"/>
      <c r="K34" s="3" t="s">
        <v>14</v>
      </c>
      <c r="L34" s="23"/>
      <c r="M34" s="3"/>
      <c r="N34" s="3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3">
      <c r="A35" s="3" t="s">
        <v>2</v>
      </c>
      <c r="B35" s="3" t="s">
        <v>3</v>
      </c>
      <c r="C35" s="3" t="s">
        <v>4</v>
      </c>
      <c r="D35" s="3" t="s">
        <v>5</v>
      </c>
      <c r="E35" s="3" t="s">
        <v>29</v>
      </c>
      <c r="F35" s="3" t="s">
        <v>32</v>
      </c>
      <c r="G35" s="3" t="s">
        <v>6</v>
      </c>
      <c r="I35" s="3"/>
      <c r="J35" s="3" t="s">
        <v>3</v>
      </c>
      <c r="K35" s="3" t="s">
        <v>4</v>
      </c>
      <c r="L35" s="23" t="s">
        <v>5</v>
      </c>
      <c r="M35" s="3" t="s">
        <v>29</v>
      </c>
      <c r="N35" s="3" t="s">
        <v>32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x14ac:dyDescent="0.3">
      <c r="A36" s="3" t="s">
        <v>3</v>
      </c>
      <c r="B36" s="7">
        <f>B7</f>
        <v>22</v>
      </c>
      <c r="C36" s="5">
        <f t="shared" ref="C36:F40" si="12">C7</f>
        <v>3</v>
      </c>
      <c r="D36" s="5">
        <f t="shared" si="12"/>
        <v>2</v>
      </c>
      <c r="E36" s="5">
        <f t="shared" si="12"/>
        <v>1</v>
      </c>
      <c r="F36" s="5">
        <f t="shared" si="12"/>
        <v>0</v>
      </c>
      <c r="G36" s="3">
        <f>SUM(B36:F36)</f>
        <v>28</v>
      </c>
      <c r="I36" s="3" t="s">
        <v>3</v>
      </c>
      <c r="J36" s="5">
        <v>0</v>
      </c>
      <c r="K36" s="5">
        <v>6.25E-2</v>
      </c>
      <c r="L36" s="5">
        <v>0.25</v>
      </c>
      <c r="M36" s="5">
        <v>0.5625</v>
      </c>
      <c r="N36" s="5">
        <v>1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x14ac:dyDescent="0.3">
      <c r="A37" s="3" t="s">
        <v>4</v>
      </c>
      <c r="B37" s="5">
        <f>B8</f>
        <v>2</v>
      </c>
      <c r="C37" s="7">
        <f t="shared" ref="C37:E39" si="13">C8</f>
        <v>2</v>
      </c>
      <c r="D37" s="5">
        <f t="shared" si="13"/>
        <v>1</v>
      </c>
      <c r="E37" s="5">
        <f t="shared" si="13"/>
        <v>2</v>
      </c>
      <c r="F37" s="5">
        <f t="shared" si="12"/>
        <v>1</v>
      </c>
      <c r="G37" s="3">
        <f t="shared" ref="G37:G40" si="14">SUM(B37:F37)</f>
        <v>8</v>
      </c>
      <c r="I37" s="3" t="s">
        <v>4</v>
      </c>
      <c r="J37" s="5">
        <v>6.25E-2</v>
      </c>
      <c r="K37" s="5">
        <v>0</v>
      </c>
      <c r="L37" s="5">
        <v>6.25E-2</v>
      </c>
      <c r="M37" s="5">
        <v>0.25</v>
      </c>
      <c r="N37" s="5">
        <v>0.5625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x14ac:dyDescent="0.3">
      <c r="A38" s="3" t="s">
        <v>5</v>
      </c>
      <c r="B38" s="5">
        <f>B9</f>
        <v>2</v>
      </c>
      <c r="C38" s="5">
        <f t="shared" si="13"/>
        <v>0</v>
      </c>
      <c r="D38" s="7">
        <f t="shared" si="13"/>
        <v>1</v>
      </c>
      <c r="E38" s="5">
        <f t="shared" si="13"/>
        <v>0</v>
      </c>
      <c r="F38" s="5">
        <f t="shared" si="12"/>
        <v>1</v>
      </c>
      <c r="G38" s="3">
        <f t="shared" si="14"/>
        <v>4</v>
      </c>
      <c r="I38" s="3" t="s">
        <v>5</v>
      </c>
      <c r="J38" s="5">
        <v>0.25</v>
      </c>
      <c r="K38" s="5">
        <v>6.25E-2</v>
      </c>
      <c r="L38" s="5">
        <v>0</v>
      </c>
      <c r="M38" s="5">
        <v>6.25E-2</v>
      </c>
      <c r="N38" s="5">
        <v>0.25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x14ac:dyDescent="0.3">
      <c r="A39" s="3" t="s">
        <v>29</v>
      </c>
      <c r="B39" s="5">
        <f>B10</f>
        <v>1</v>
      </c>
      <c r="C39" s="5">
        <f t="shared" si="13"/>
        <v>1</v>
      </c>
      <c r="D39" s="5">
        <f t="shared" si="13"/>
        <v>0</v>
      </c>
      <c r="E39" s="7">
        <f t="shared" si="13"/>
        <v>3</v>
      </c>
      <c r="F39" s="5">
        <f t="shared" si="12"/>
        <v>0</v>
      </c>
      <c r="G39" s="3">
        <f t="shared" si="14"/>
        <v>5</v>
      </c>
      <c r="I39" s="25" t="s">
        <v>29</v>
      </c>
      <c r="J39" s="26">
        <v>0.5625</v>
      </c>
      <c r="K39" s="26">
        <v>0.25</v>
      </c>
      <c r="L39" s="26">
        <v>6.25E-2</v>
      </c>
      <c r="M39" s="26">
        <v>0</v>
      </c>
      <c r="N39" s="5">
        <v>6.25E-2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x14ac:dyDescent="0.3">
      <c r="A40" s="3" t="s">
        <v>32</v>
      </c>
      <c r="B40" s="5">
        <f>B11</f>
        <v>0</v>
      </c>
      <c r="C40" s="5">
        <f t="shared" ref="C40:E40" si="15">C11</f>
        <v>0</v>
      </c>
      <c r="D40" s="5">
        <f t="shared" si="15"/>
        <v>2</v>
      </c>
      <c r="E40" s="5">
        <f t="shared" si="15"/>
        <v>1</v>
      </c>
      <c r="F40" s="7">
        <f t="shared" si="12"/>
        <v>2</v>
      </c>
      <c r="G40" s="3">
        <f t="shared" si="14"/>
        <v>5</v>
      </c>
      <c r="I40" s="3" t="s">
        <v>32</v>
      </c>
      <c r="J40" s="5">
        <v>1</v>
      </c>
      <c r="K40" s="5">
        <v>0.5625</v>
      </c>
      <c r="L40" s="5">
        <v>0.25</v>
      </c>
      <c r="M40" s="5">
        <v>6.25E-2</v>
      </c>
      <c r="N40" s="5">
        <v>0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x14ac:dyDescent="0.3">
      <c r="A41" s="3" t="s">
        <v>6</v>
      </c>
      <c r="B41" s="3">
        <f>SUM(B36:B39)</f>
        <v>27</v>
      </c>
      <c r="C41" s="3">
        <f t="shared" ref="C41:F41" si="16">SUM(C36:C39)</f>
        <v>6</v>
      </c>
      <c r="D41" s="3">
        <f t="shared" si="16"/>
        <v>4</v>
      </c>
      <c r="E41" s="3">
        <f t="shared" si="16"/>
        <v>6</v>
      </c>
      <c r="F41" s="3">
        <f t="shared" si="16"/>
        <v>2</v>
      </c>
      <c r="G41" s="3">
        <f>SUM(B36:F40)</f>
        <v>50</v>
      </c>
      <c r="M41" s="10"/>
      <c r="N41" s="10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x14ac:dyDescent="0.3"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x14ac:dyDescent="0.3">
      <c r="A43" s="2" t="s">
        <v>22</v>
      </c>
      <c r="B43"/>
      <c r="O43" s="9"/>
      <c r="P43" s="9"/>
      <c r="Q43" s="21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x14ac:dyDescent="0.3"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x14ac:dyDescent="0.3">
      <c r="A45" s="3"/>
      <c r="B45" s="3"/>
      <c r="C45" s="3" t="s">
        <v>1</v>
      </c>
      <c r="D45" s="3"/>
      <c r="E45" s="3"/>
      <c r="F45" s="3"/>
      <c r="G45" s="3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x14ac:dyDescent="0.3">
      <c r="A46" s="3" t="s">
        <v>2</v>
      </c>
      <c r="B46" s="3" t="s">
        <v>3</v>
      </c>
      <c r="C46" s="3" t="s">
        <v>4</v>
      </c>
      <c r="D46" s="3" t="s">
        <v>5</v>
      </c>
      <c r="E46" s="3" t="s">
        <v>29</v>
      </c>
      <c r="F46" s="3" t="s">
        <v>32</v>
      </c>
      <c r="G46" s="3" t="s">
        <v>6</v>
      </c>
      <c r="I46" s="2" t="s">
        <v>9</v>
      </c>
      <c r="J46" s="2">
        <f>1-(L46/L47)</f>
        <v>0.61816305469556243</v>
      </c>
      <c r="K46" s="11" t="s">
        <v>30</v>
      </c>
      <c r="L46" s="2">
        <f>SUMPRODUCT(B36:F40,J36:N40)</f>
        <v>4.625</v>
      </c>
      <c r="M46" s="2"/>
      <c r="N46" s="2"/>
      <c r="O46" s="9"/>
      <c r="P46" s="9"/>
      <c r="Q46" s="9"/>
      <c r="R46" s="9"/>
      <c r="S46" s="9"/>
      <c r="T46" s="9"/>
      <c r="U46" s="9"/>
      <c r="V46" s="9"/>
      <c r="W46" s="9"/>
      <c r="X46" s="22"/>
      <c r="Y46" s="22"/>
      <c r="Z46" s="9"/>
      <c r="AA46" s="22"/>
      <c r="AB46" s="9"/>
      <c r="AC46" s="9"/>
    </row>
    <row r="47" spans="1:29" x14ac:dyDescent="0.3">
      <c r="A47" s="3" t="s">
        <v>3</v>
      </c>
      <c r="B47" s="7">
        <f>B$12*$G36/$G$12</f>
        <v>15.12</v>
      </c>
      <c r="C47" s="5">
        <f t="shared" ref="C47:F47" si="17">C$12*$G36/$G$12</f>
        <v>3.36</v>
      </c>
      <c r="D47" s="5">
        <f t="shared" si="17"/>
        <v>3.36</v>
      </c>
      <c r="E47" s="5">
        <f t="shared" si="17"/>
        <v>3.92</v>
      </c>
      <c r="F47" s="5">
        <f t="shared" si="17"/>
        <v>2.2400000000000002</v>
      </c>
      <c r="G47" s="3">
        <f>SUM(B47:F47)</f>
        <v>28</v>
      </c>
      <c r="K47" s="11" t="s">
        <v>31</v>
      </c>
      <c r="L47" s="2">
        <f>SUMPRODUCT(B47:F51,J36:N40)</f>
        <v>12.112500000000001</v>
      </c>
      <c r="M47" s="2"/>
      <c r="N47" s="2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22"/>
      <c r="AB47" s="9"/>
      <c r="AC47" s="9"/>
    </row>
    <row r="48" spans="1:29" x14ac:dyDescent="0.3">
      <c r="A48" s="3" t="s">
        <v>4</v>
      </c>
      <c r="B48" s="5">
        <f t="shared" ref="B48:F51" si="18">B$12*$G37/$G$12</f>
        <v>4.32</v>
      </c>
      <c r="C48" s="7">
        <f t="shared" si="18"/>
        <v>0.96</v>
      </c>
      <c r="D48" s="5">
        <f t="shared" si="18"/>
        <v>0.96</v>
      </c>
      <c r="E48" s="5">
        <f t="shared" si="18"/>
        <v>1.1200000000000001</v>
      </c>
      <c r="F48" s="5">
        <f t="shared" si="18"/>
        <v>0.64</v>
      </c>
      <c r="G48" s="3">
        <f t="shared" ref="G48:G51" si="19">SUM(B48:F48)</f>
        <v>8</v>
      </c>
      <c r="I48"/>
      <c r="O48" s="9"/>
      <c r="P48" s="9"/>
      <c r="Q48" s="9"/>
      <c r="R48" s="9"/>
      <c r="S48" s="9"/>
      <c r="T48" s="9"/>
      <c r="U48" s="9"/>
      <c r="V48" s="9"/>
      <c r="W48" s="9"/>
      <c r="X48" s="21"/>
      <c r="Y48" s="9"/>
      <c r="Z48" s="9"/>
      <c r="AA48" s="9"/>
      <c r="AB48" s="9"/>
      <c r="AC48" s="9"/>
    </row>
    <row r="49" spans="1:29" x14ac:dyDescent="0.3">
      <c r="A49" s="3" t="s">
        <v>5</v>
      </c>
      <c r="B49" s="5">
        <f t="shared" si="18"/>
        <v>2.16</v>
      </c>
      <c r="C49" s="5">
        <f t="shared" si="18"/>
        <v>0.48</v>
      </c>
      <c r="D49" s="7">
        <f t="shared" si="18"/>
        <v>0.48</v>
      </c>
      <c r="E49" s="5">
        <f t="shared" si="18"/>
        <v>0.56000000000000005</v>
      </c>
      <c r="F49" s="5">
        <f t="shared" si="18"/>
        <v>0.32</v>
      </c>
      <c r="G49" s="3">
        <f t="shared" si="19"/>
        <v>4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x14ac:dyDescent="0.3">
      <c r="A50" s="3" t="s">
        <v>29</v>
      </c>
      <c r="B50" s="5">
        <f t="shared" si="18"/>
        <v>2.7</v>
      </c>
      <c r="C50" s="5">
        <f t="shared" si="18"/>
        <v>0.6</v>
      </c>
      <c r="D50" s="5">
        <f t="shared" si="18"/>
        <v>0.6</v>
      </c>
      <c r="E50" s="7">
        <f t="shared" si="18"/>
        <v>0.7</v>
      </c>
      <c r="F50" s="5">
        <f t="shared" si="18"/>
        <v>0.4</v>
      </c>
      <c r="G50" s="3">
        <f t="shared" si="19"/>
        <v>5.0000000000000009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x14ac:dyDescent="0.3">
      <c r="A51" s="3" t="s">
        <v>32</v>
      </c>
      <c r="B51" s="5">
        <f t="shared" si="18"/>
        <v>2.7</v>
      </c>
      <c r="C51" s="5">
        <f t="shared" si="18"/>
        <v>0.6</v>
      </c>
      <c r="D51" s="5">
        <f t="shared" si="18"/>
        <v>0.6</v>
      </c>
      <c r="E51" s="5">
        <f t="shared" si="18"/>
        <v>0.7</v>
      </c>
      <c r="F51" s="7">
        <f t="shared" si="18"/>
        <v>0.4</v>
      </c>
      <c r="G51" s="3">
        <f t="shared" si="19"/>
        <v>5.0000000000000009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x14ac:dyDescent="0.3">
      <c r="A52" s="3" t="s">
        <v>6</v>
      </c>
      <c r="B52" s="3">
        <f>SUM(B47:B51)</f>
        <v>26.999999999999996</v>
      </c>
      <c r="C52" s="3">
        <f t="shared" ref="C52:F52" si="20">SUM(C47:C51)</f>
        <v>6</v>
      </c>
      <c r="D52" s="3">
        <f t="shared" si="20"/>
        <v>6</v>
      </c>
      <c r="E52" s="3">
        <f t="shared" si="20"/>
        <v>7</v>
      </c>
      <c r="F52" s="3">
        <f t="shared" si="20"/>
        <v>4</v>
      </c>
      <c r="G52" s="3">
        <f>SUM(B47:F51)</f>
        <v>50.000000000000007</v>
      </c>
      <c r="I52"/>
      <c r="O52" s="9"/>
      <c r="P52" s="9"/>
      <c r="Q52" s="9"/>
      <c r="R52" s="9"/>
      <c r="S52" s="9"/>
      <c r="T52" s="9"/>
      <c r="U52" s="9"/>
      <c r="V52" s="9"/>
      <c r="W52" s="9"/>
      <c r="X52" s="21"/>
      <c r="Y52" s="9"/>
      <c r="Z52" s="9"/>
      <c r="AA52" s="9"/>
      <c r="AB52" s="9"/>
      <c r="AC52" s="9"/>
    </row>
    <row r="53" spans="1:29" x14ac:dyDescent="0.3"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x14ac:dyDescent="0.3"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5F65-29A9-4B26-B108-9CD883D77535}">
  <dimension ref="A2:AG57"/>
  <sheetViews>
    <sheetView topLeftCell="A7" zoomScale="85" zoomScaleNormal="85" workbookViewId="0">
      <selection activeCell="F28" sqref="F28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33" x14ac:dyDescent="0.3">
      <c r="A2" s="2"/>
    </row>
    <row r="3" spans="1:33" x14ac:dyDescent="0.3">
      <c r="A3" s="2" t="s">
        <v>21</v>
      </c>
      <c r="Q3" s="2"/>
      <c r="R3" s="2" t="s">
        <v>21</v>
      </c>
    </row>
    <row r="4" spans="1:33" x14ac:dyDescent="0.3">
      <c r="J4" s="6" t="s">
        <v>16</v>
      </c>
      <c r="AA4" s="6" t="s">
        <v>18</v>
      </c>
    </row>
    <row r="5" spans="1:33" x14ac:dyDescent="0.3">
      <c r="A5" s="3"/>
      <c r="B5" s="3"/>
      <c r="C5" s="3" t="s">
        <v>1</v>
      </c>
      <c r="D5" s="3"/>
      <c r="E5" s="3"/>
      <c r="F5" s="3"/>
      <c r="G5" s="3"/>
      <c r="H5" s="3"/>
      <c r="J5" s="3"/>
      <c r="K5" s="3"/>
      <c r="L5" s="3" t="s">
        <v>14</v>
      </c>
      <c r="M5" s="3"/>
      <c r="N5" s="23"/>
      <c r="O5" s="23"/>
      <c r="P5" s="3"/>
      <c r="R5" s="3"/>
      <c r="S5" s="3"/>
      <c r="T5" s="3" t="s">
        <v>1</v>
      </c>
      <c r="U5" s="3"/>
      <c r="V5" s="3"/>
      <c r="W5" s="3"/>
      <c r="X5" s="3"/>
      <c r="Y5" s="3"/>
      <c r="AA5" s="3"/>
      <c r="AB5" s="3"/>
      <c r="AC5" s="3" t="s">
        <v>14</v>
      </c>
      <c r="AD5" s="3"/>
      <c r="AE5" s="3"/>
      <c r="AF5" s="3"/>
      <c r="AG5" s="3"/>
    </row>
    <row r="6" spans="1:33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33</v>
      </c>
      <c r="H6" s="3" t="s">
        <v>6</v>
      </c>
      <c r="J6" s="3"/>
      <c r="K6" s="3" t="s">
        <v>3</v>
      </c>
      <c r="L6" s="3" t="s">
        <v>4</v>
      </c>
      <c r="M6" s="3" t="s">
        <v>5</v>
      </c>
      <c r="N6" s="23" t="s">
        <v>29</v>
      </c>
      <c r="O6" s="23" t="s">
        <v>32</v>
      </c>
      <c r="P6" s="3" t="s">
        <v>33</v>
      </c>
      <c r="R6" s="3" t="s">
        <v>2</v>
      </c>
      <c r="S6" s="3" t="s">
        <v>3</v>
      </c>
      <c r="T6" s="3" t="s">
        <v>4</v>
      </c>
      <c r="U6" s="3" t="s">
        <v>5</v>
      </c>
      <c r="V6" s="3" t="s">
        <v>29</v>
      </c>
      <c r="W6" s="3" t="s">
        <v>32</v>
      </c>
      <c r="X6" s="3" t="s">
        <v>33</v>
      </c>
      <c r="Y6" s="3" t="s">
        <v>6</v>
      </c>
      <c r="AA6" s="3"/>
      <c r="AB6" s="3" t="s">
        <v>3</v>
      </c>
      <c r="AC6" s="3" t="s">
        <v>4</v>
      </c>
      <c r="AD6" s="3" t="s">
        <v>5</v>
      </c>
      <c r="AE6" s="3" t="s">
        <v>29</v>
      </c>
      <c r="AF6" s="23" t="s">
        <v>32</v>
      </c>
      <c r="AG6" s="3" t="s">
        <v>33</v>
      </c>
    </row>
    <row r="7" spans="1:33" x14ac:dyDescent="0.3">
      <c r="A7" s="3" t="s">
        <v>3</v>
      </c>
      <c r="B7" s="7">
        <v>6</v>
      </c>
      <c r="C7" s="5">
        <v>2</v>
      </c>
      <c r="D7" s="5">
        <v>1</v>
      </c>
      <c r="E7" s="5">
        <v>1</v>
      </c>
      <c r="F7" s="5">
        <v>0</v>
      </c>
      <c r="G7" s="5">
        <v>1</v>
      </c>
      <c r="H7" s="3">
        <f>SUM(B7:G7)</f>
        <v>11</v>
      </c>
      <c r="J7" s="3" t="s">
        <v>3</v>
      </c>
      <c r="K7" s="5">
        <v>0</v>
      </c>
      <c r="L7" s="5">
        <v>1</v>
      </c>
      <c r="M7" s="5">
        <v>2</v>
      </c>
      <c r="N7" s="24">
        <v>3</v>
      </c>
      <c r="O7" s="24">
        <v>4</v>
      </c>
      <c r="P7" s="5">
        <v>5</v>
      </c>
      <c r="R7" s="3" t="s">
        <v>3</v>
      </c>
      <c r="S7" s="7">
        <f>B7</f>
        <v>6</v>
      </c>
      <c r="T7" s="5">
        <f>C7</f>
        <v>2</v>
      </c>
      <c r="U7" s="5">
        <f>D7</f>
        <v>1</v>
      </c>
      <c r="V7" s="5">
        <f>E7</f>
        <v>1</v>
      </c>
      <c r="W7" s="5">
        <f>F7</f>
        <v>0</v>
      </c>
      <c r="X7" s="5">
        <f>G7</f>
        <v>1</v>
      </c>
      <c r="Y7" s="3">
        <f>SUM(S7:X7)</f>
        <v>11</v>
      </c>
      <c r="AA7" s="3" t="s">
        <v>3</v>
      </c>
      <c r="AB7" s="5">
        <v>0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</row>
    <row r="8" spans="1:33" x14ac:dyDescent="0.3">
      <c r="A8" s="3" t="s">
        <v>4</v>
      </c>
      <c r="B8" s="5">
        <v>2</v>
      </c>
      <c r="C8" s="7">
        <v>5</v>
      </c>
      <c r="D8" s="5">
        <v>1</v>
      </c>
      <c r="E8" s="5">
        <v>2</v>
      </c>
      <c r="F8" s="5">
        <v>1</v>
      </c>
      <c r="G8" s="5">
        <v>1</v>
      </c>
      <c r="H8" s="3">
        <f>SUM(B8:G8)</f>
        <v>12</v>
      </c>
      <c r="J8" s="3" t="s">
        <v>4</v>
      </c>
      <c r="K8" s="5">
        <v>1</v>
      </c>
      <c r="L8" s="5">
        <v>0</v>
      </c>
      <c r="M8" s="5">
        <v>1</v>
      </c>
      <c r="N8" s="24">
        <v>2</v>
      </c>
      <c r="O8" s="24">
        <v>3</v>
      </c>
      <c r="P8" s="5">
        <v>4</v>
      </c>
      <c r="R8" s="3" t="s">
        <v>4</v>
      </c>
      <c r="S8" s="5">
        <f>B8</f>
        <v>2</v>
      </c>
      <c r="T8" s="7">
        <f>C8</f>
        <v>5</v>
      </c>
      <c r="U8" s="5">
        <f>D8</f>
        <v>1</v>
      </c>
      <c r="V8" s="5">
        <f>E8</f>
        <v>2</v>
      </c>
      <c r="W8" s="5">
        <f t="shared" ref="W8:W12" si="0">F8</f>
        <v>1</v>
      </c>
      <c r="X8" s="5">
        <f t="shared" ref="X8:X12" si="1">G8</f>
        <v>1</v>
      </c>
      <c r="Y8" s="3">
        <f t="shared" ref="Y8:Y12" si="2">SUM(S8:X8)</f>
        <v>12</v>
      </c>
      <c r="AA8" s="3" t="s">
        <v>4</v>
      </c>
      <c r="AB8" s="5">
        <v>1</v>
      </c>
      <c r="AC8" s="5">
        <v>0</v>
      </c>
      <c r="AD8" s="5">
        <v>1</v>
      </c>
      <c r="AE8" s="5">
        <v>1</v>
      </c>
      <c r="AF8" s="5">
        <v>1</v>
      </c>
      <c r="AG8" s="5">
        <v>1</v>
      </c>
    </row>
    <row r="9" spans="1:33" x14ac:dyDescent="0.3">
      <c r="A9" s="3" t="s">
        <v>5</v>
      </c>
      <c r="B9" s="5">
        <v>1</v>
      </c>
      <c r="C9" s="5">
        <v>0</v>
      </c>
      <c r="D9" s="7">
        <v>4</v>
      </c>
      <c r="E9" s="5">
        <v>0</v>
      </c>
      <c r="F9" s="5">
        <v>1</v>
      </c>
      <c r="G9" s="5">
        <v>0</v>
      </c>
      <c r="H9" s="3">
        <f>SUM(B9:G9)</f>
        <v>6</v>
      </c>
      <c r="J9" s="3" t="s">
        <v>5</v>
      </c>
      <c r="K9" s="5">
        <v>2</v>
      </c>
      <c r="L9" s="5">
        <v>1</v>
      </c>
      <c r="M9" s="5">
        <v>0</v>
      </c>
      <c r="N9" s="24">
        <v>1</v>
      </c>
      <c r="O9" s="24">
        <v>2</v>
      </c>
      <c r="P9" s="5">
        <v>3</v>
      </c>
      <c r="R9" s="3" t="s">
        <v>5</v>
      </c>
      <c r="S9" s="5">
        <f>B9</f>
        <v>1</v>
      </c>
      <c r="T9" s="5">
        <f>C9</f>
        <v>0</v>
      </c>
      <c r="U9" s="7">
        <f>D9</f>
        <v>4</v>
      </c>
      <c r="V9" s="5">
        <f>E9</f>
        <v>0</v>
      </c>
      <c r="W9" s="5">
        <f t="shared" si="0"/>
        <v>1</v>
      </c>
      <c r="X9" s="5">
        <f t="shared" si="1"/>
        <v>0</v>
      </c>
      <c r="Y9" s="3">
        <f t="shared" si="2"/>
        <v>6</v>
      </c>
      <c r="AA9" s="3" t="s">
        <v>5</v>
      </c>
      <c r="AB9" s="5">
        <v>1</v>
      </c>
      <c r="AC9" s="5">
        <v>1</v>
      </c>
      <c r="AD9" s="5">
        <v>0</v>
      </c>
      <c r="AE9" s="5">
        <v>1</v>
      </c>
      <c r="AF9" s="5">
        <v>1</v>
      </c>
      <c r="AG9" s="5">
        <v>1</v>
      </c>
    </row>
    <row r="10" spans="1:33" x14ac:dyDescent="0.3">
      <c r="A10" s="3" t="s">
        <v>29</v>
      </c>
      <c r="B10" s="5">
        <v>1</v>
      </c>
      <c r="C10" s="5">
        <v>1</v>
      </c>
      <c r="D10" s="5">
        <v>0</v>
      </c>
      <c r="E10" s="7">
        <v>4</v>
      </c>
      <c r="F10" s="5">
        <v>0</v>
      </c>
      <c r="G10" s="5">
        <v>1</v>
      </c>
      <c r="H10" s="3">
        <f>SUM(B10:G10)</f>
        <v>7</v>
      </c>
      <c r="J10" s="3" t="s">
        <v>29</v>
      </c>
      <c r="K10" s="5">
        <v>3</v>
      </c>
      <c r="L10" s="5">
        <v>2</v>
      </c>
      <c r="M10" s="5">
        <v>1</v>
      </c>
      <c r="N10" s="24">
        <v>0</v>
      </c>
      <c r="O10" s="24">
        <v>1</v>
      </c>
      <c r="P10" s="5">
        <v>2</v>
      </c>
      <c r="R10" s="3" t="s">
        <v>29</v>
      </c>
      <c r="S10" s="5">
        <f>B10</f>
        <v>1</v>
      </c>
      <c r="T10" s="5">
        <f>C10</f>
        <v>1</v>
      </c>
      <c r="U10" s="5">
        <f>D10</f>
        <v>0</v>
      </c>
      <c r="V10" s="7">
        <f>E10</f>
        <v>4</v>
      </c>
      <c r="W10" s="5">
        <f t="shared" si="0"/>
        <v>0</v>
      </c>
      <c r="X10" s="5">
        <f t="shared" si="1"/>
        <v>1</v>
      </c>
      <c r="Y10" s="3">
        <f t="shared" si="2"/>
        <v>7</v>
      </c>
      <c r="AA10" s="3" t="s">
        <v>29</v>
      </c>
      <c r="AB10" s="5">
        <v>1</v>
      </c>
      <c r="AC10" s="5">
        <v>1</v>
      </c>
      <c r="AD10" s="5">
        <v>1</v>
      </c>
      <c r="AE10" s="5">
        <v>0</v>
      </c>
      <c r="AF10" s="5">
        <v>1</v>
      </c>
      <c r="AG10" s="5">
        <v>1</v>
      </c>
    </row>
    <row r="11" spans="1:33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3</v>
      </c>
      <c r="G11" s="5">
        <v>1</v>
      </c>
      <c r="H11" s="3">
        <f>SUM(B11:G11)</f>
        <v>7</v>
      </c>
      <c r="J11" s="3" t="s">
        <v>32</v>
      </c>
      <c r="K11" s="5">
        <v>4</v>
      </c>
      <c r="L11" s="5">
        <v>3</v>
      </c>
      <c r="M11" s="5">
        <v>2</v>
      </c>
      <c r="N11" s="5">
        <v>1</v>
      </c>
      <c r="O11" s="24">
        <v>0</v>
      </c>
      <c r="P11" s="5">
        <v>1</v>
      </c>
      <c r="R11" s="3" t="s">
        <v>32</v>
      </c>
      <c r="S11" s="5">
        <f>B11</f>
        <v>0</v>
      </c>
      <c r="T11" s="5">
        <f>C11</f>
        <v>0</v>
      </c>
      <c r="U11" s="5">
        <f>D11</f>
        <v>2</v>
      </c>
      <c r="V11" s="5">
        <f>E11</f>
        <v>1</v>
      </c>
      <c r="W11" s="7">
        <f t="shared" si="0"/>
        <v>3</v>
      </c>
      <c r="X11" s="5">
        <f t="shared" si="1"/>
        <v>1</v>
      </c>
      <c r="Y11" s="3">
        <f t="shared" si="2"/>
        <v>7</v>
      </c>
      <c r="AA11" s="3" t="s">
        <v>32</v>
      </c>
      <c r="AB11" s="5">
        <v>1</v>
      </c>
      <c r="AC11" s="5">
        <v>1</v>
      </c>
      <c r="AD11" s="5">
        <v>1</v>
      </c>
      <c r="AE11" s="5">
        <v>1</v>
      </c>
      <c r="AF11" s="5">
        <v>0</v>
      </c>
      <c r="AG11" s="5">
        <v>1</v>
      </c>
    </row>
    <row r="12" spans="1:33" x14ac:dyDescent="0.3">
      <c r="A12" s="3" t="s">
        <v>33</v>
      </c>
      <c r="B12" s="5">
        <v>0</v>
      </c>
      <c r="C12" s="5">
        <v>1</v>
      </c>
      <c r="D12" s="5">
        <v>0</v>
      </c>
      <c r="E12" s="5">
        <v>2</v>
      </c>
      <c r="F12" s="5">
        <v>0</v>
      </c>
      <c r="G12" s="7">
        <v>4</v>
      </c>
      <c r="H12" s="3">
        <f>SUM(B12:G12)</f>
        <v>7</v>
      </c>
      <c r="J12" s="3" t="s">
        <v>33</v>
      </c>
      <c r="K12" s="5">
        <v>5</v>
      </c>
      <c r="L12" s="5">
        <v>4</v>
      </c>
      <c r="M12" s="5">
        <v>3</v>
      </c>
      <c r="N12" s="5">
        <v>2</v>
      </c>
      <c r="O12" s="5">
        <v>1</v>
      </c>
      <c r="P12" s="5">
        <v>0</v>
      </c>
      <c r="R12" s="3" t="s">
        <v>33</v>
      </c>
      <c r="S12" s="5">
        <f>B12</f>
        <v>0</v>
      </c>
      <c r="T12" s="5">
        <f t="shared" ref="T12:X12" si="3">C12</f>
        <v>1</v>
      </c>
      <c r="U12" s="5">
        <f t="shared" si="3"/>
        <v>0</v>
      </c>
      <c r="V12" s="5">
        <f t="shared" si="3"/>
        <v>2</v>
      </c>
      <c r="W12" s="5">
        <f t="shared" si="0"/>
        <v>0</v>
      </c>
      <c r="X12" s="7">
        <f t="shared" si="1"/>
        <v>4</v>
      </c>
      <c r="Y12" s="3">
        <f t="shared" si="2"/>
        <v>7</v>
      </c>
      <c r="AA12" s="3" t="s">
        <v>33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0</v>
      </c>
    </row>
    <row r="13" spans="1:33" x14ac:dyDescent="0.3">
      <c r="A13" s="3" t="s">
        <v>6</v>
      </c>
      <c r="B13" s="3">
        <f>SUM(B7:B12)</f>
        <v>10</v>
      </c>
      <c r="C13" s="3">
        <f>SUM(C7:C12)</f>
        <v>9</v>
      </c>
      <c r="D13" s="3">
        <f>SUM(D7:D12)</f>
        <v>8</v>
      </c>
      <c r="E13" s="3">
        <f>SUM(E7:E12)</f>
        <v>10</v>
      </c>
      <c r="F13" s="3">
        <f>SUM(F7:F12)</f>
        <v>5</v>
      </c>
      <c r="G13" s="3">
        <f>SUM(G7:G12)</f>
        <v>8</v>
      </c>
      <c r="H13" s="3">
        <f>SUM(B7:G12)</f>
        <v>50</v>
      </c>
      <c r="J13" s="8"/>
      <c r="K13" s="8"/>
      <c r="L13" s="8"/>
      <c r="M13" s="8"/>
      <c r="N13" s="9"/>
      <c r="O13" s="9"/>
      <c r="P13" s="9"/>
      <c r="R13" s="3" t="s">
        <v>6</v>
      </c>
      <c r="S13" s="3">
        <f>SUM(S7:S12)</f>
        <v>10</v>
      </c>
      <c r="T13" s="3">
        <f t="shared" ref="T13:X13" si="4">SUM(T7:T12)</f>
        <v>9</v>
      </c>
      <c r="U13" s="3">
        <f t="shared" si="4"/>
        <v>8</v>
      </c>
      <c r="V13" s="3">
        <f t="shared" si="4"/>
        <v>10</v>
      </c>
      <c r="W13" s="3">
        <f t="shared" si="4"/>
        <v>5</v>
      </c>
      <c r="X13" s="3">
        <f t="shared" si="4"/>
        <v>8</v>
      </c>
      <c r="Y13" s="3">
        <f>SUM(S7:X12)</f>
        <v>50</v>
      </c>
      <c r="AB13" s="8"/>
      <c r="AC13" s="8"/>
      <c r="AD13" s="8"/>
      <c r="AE13" s="8"/>
      <c r="AF13" s="8"/>
      <c r="AG13" s="8"/>
    </row>
    <row r="14" spans="1:33" x14ac:dyDescent="0.3">
      <c r="J14" s="8"/>
      <c r="K14" s="8"/>
      <c r="L14" s="8"/>
      <c r="M14" s="8"/>
      <c r="N14" s="8"/>
      <c r="O14" s="8"/>
      <c r="P14" s="8"/>
    </row>
    <row r="15" spans="1:33" x14ac:dyDescent="0.3">
      <c r="A15" s="2" t="s">
        <v>22</v>
      </c>
      <c r="B15"/>
      <c r="R15" s="2" t="s">
        <v>22</v>
      </c>
      <c r="S15"/>
    </row>
    <row r="17" spans="1:31" x14ac:dyDescent="0.3">
      <c r="A17" s="3"/>
      <c r="B17" s="3"/>
      <c r="C17" s="3" t="s">
        <v>1</v>
      </c>
      <c r="D17" s="3"/>
      <c r="E17" s="3"/>
      <c r="F17" s="3"/>
      <c r="G17" s="3"/>
      <c r="H17" s="3"/>
      <c r="R17" s="3"/>
      <c r="S17" s="3"/>
      <c r="T17" s="3" t="s">
        <v>1</v>
      </c>
      <c r="U17" s="3"/>
      <c r="V17" s="3"/>
      <c r="W17" s="3"/>
      <c r="X17" s="3"/>
      <c r="Y17" s="3"/>
    </row>
    <row r="18" spans="1:31" x14ac:dyDescent="0.3">
      <c r="A18" s="3" t="s">
        <v>2</v>
      </c>
      <c r="B18" s="3" t="s">
        <v>3</v>
      </c>
      <c r="C18" s="3" t="s">
        <v>4</v>
      </c>
      <c r="D18" s="3" t="s">
        <v>5</v>
      </c>
      <c r="E18" s="3" t="s">
        <v>29</v>
      </c>
      <c r="F18" s="3" t="s">
        <v>32</v>
      </c>
      <c r="G18" s="3" t="s">
        <v>33</v>
      </c>
      <c r="H18" s="3" t="s">
        <v>6</v>
      </c>
      <c r="J18" s="2" t="s">
        <v>9</v>
      </c>
      <c r="K18" s="2">
        <f>1-(N18/N19)</f>
        <v>0.48107448107448103</v>
      </c>
      <c r="M18" s="11" t="s">
        <v>19</v>
      </c>
      <c r="N18" s="2">
        <f>SUMPRODUCT(B7:G12,K7:P12)</f>
        <v>51</v>
      </c>
      <c r="O18" s="2"/>
      <c r="P18" s="2"/>
      <c r="R18" s="3" t="s">
        <v>2</v>
      </c>
      <c r="S18" s="3" t="s">
        <v>3</v>
      </c>
      <c r="T18" s="3" t="s">
        <v>4</v>
      </c>
      <c r="U18" s="3" t="s">
        <v>5</v>
      </c>
      <c r="V18" s="3" t="s">
        <v>29</v>
      </c>
      <c r="W18" s="3" t="s">
        <v>32</v>
      </c>
      <c r="X18" s="3" t="s">
        <v>33</v>
      </c>
      <c r="Y18" s="3" t="s">
        <v>6</v>
      </c>
      <c r="AA18" s="2" t="s">
        <v>9</v>
      </c>
      <c r="AB18" s="2">
        <f>1-(AE18/AE19)</f>
        <v>0.42112879884225751</v>
      </c>
      <c r="AD18" s="11" t="s">
        <v>19</v>
      </c>
      <c r="AE18" s="2">
        <f>SUMPRODUCT(S7:X12,AB7:AG12)</f>
        <v>24</v>
      </c>
    </row>
    <row r="19" spans="1:31" x14ac:dyDescent="0.3">
      <c r="A19" s="3" t="s">
        <v>3</v>
      </c>
      <c r="B19" s="7">
        <f>B$13*$H7/$H$13</f>
        <v>2.2000000000000002</v>
      </c>
      <c r="C19" s="5">
        <f>C$13*$H7/$H$13</f>
        <v>1.98</v>
      </c>
      <c r="D19" s="5">
        <f>D$13*$H7/$H$13</f>
        <v>1.76</v>
      </c>
      <c r="E19" s="5">
        <f>E$13*$H7/$H$13</f>
        <v>2.2000000000000002</v>
      </c>
      <c r="F19" s="5">
        <f>F$13*$H7/$H$13</f>
        <v>1.1000000000000001</v>
      </c>
      <c r="G19" s="5">
        <f>G$13*$H7/$H$13</f>
        <v>1.76</v>
      </c>
      <c r="H19" s="3">
        <f>SUM(B19:G19)</f>
        <v>11</v>
      </c>
      <c r="M19" s="11" t="s">
        <v>20</v>
      </c>
      <c r="N19" s="2">
        <f>SUMPRODUCT(B19:G24,K7:P12)</f>
        <v>98.28</v>
      </c>
      <c r="O19" s="2"/>
      <c r="P19" s="2"/>
      <c r="R19" s="3" t="s">
        <v>3</v>
      </c>
      <c r="S19" s="7">
        <f>S$13*$H7/$H$13</f>
        <v>2.2000000000000002</v>
      </c>
      <c r="T19" s="5">
        <f t="shared" ref="T19:X19" si="5">T$13*$H7/$H$13</f>
        <v>1.98</v>
      </c>
      <c r="U19" s="5">
        <f t="shared" si="5"/>
        <v>1.76</v>
      </c>
      <c r="V19" s="5">
        <f t="shared" si="5"/>
        <v>2.2000000000000002</v>
      </c>
      <c r="W19" s="5">
        <f t="shared" si="5"/>
        <v>1.1000000000000001</v>
      </c>
      <c r="X19" s="5">
        <f t="shared" si="5"/>
        <v>1.76</v>
      </c>
      <c r="Y19" s="3">
        <f>SUM(S19:X19)</f>
        <v>11</v>
      </c>
      <c r="AD19" s="11" t="s">
        <v>20</v>
      </c>
      <c r="AE19" s="2">
        <f>SUMPRODUCT(S19:X24,AB7:AG12)</f>
        <v>41.459999999999994</v>
      </c>
    </row>
    <row r="20" spans="1:31" x14ac:dyDescent="0.3">
      <c r="A20" s="3" t="s">
        <v>4</v>
      </c>
      <c r="B20" s="5">
        <f>B$13*$H8/$H$13</f>
        <v>2.4</v>
      </c>
      <c r="C20" s="7">
        <f>C$13*$H8/$H$13</f>
        <v>2.16</v>
      </c>
      <c r="D20" s="5">
        <f>D$13*$H8/$H$13</f>
        <v>1.92</v>
      </c>
      <c r="E20" s="5">
        <f>E$13*$H8/$H$13</f>
        <v>2.4</v>
      </c>
      <c r="F20" s="5">
        <f>F$13*$H8/$H$13</f>
        <v>1.2</v>
      </c>
      <c r="G20" s="5">
        <f t="shared" ref="G20:G24" si="6">G$13*$H8/$H$13</f>
        <v>1.92</v>
      </c>
      <c r="H20" s="3">
        <f t="shared" ref="H20:H24" si="7">SUM(B20:G20)</f>
        <v>12</v>
      </c>
      <c r="J20"/>
      <c r="R20" s="3" t="s">
        <v>4</v>
      </c>
      <c r="S20" s="5">
        <f>S$13*$H8/$H$13</f>
        <v>2.4</v>
      </c>
      <c r="T20" s="7">
        <f>T$13*$H8/$H$13</f>
        <v>2.16</v>
      </c>
      <c r="U20" s="5">
        <f>U$13*$H8/$H$13</f>
        <v>1.92</v>
      </c>
      <c r="V20" s="5">
        <f>V$13*$H8/$H$13</f>
        <v>2.4</v>
      </c>
      <c r="W20" s="5">
        <f>W$13*$H8/$H$13</f>
        <v>1.2</v>
      </c>
      <c r="X20" s="5">
        <f t="shared" ref="X20" si="8">X$13*$H8/$H$13</f>
        <v>1.92</v>
      </c>
      <c r="Y20" s="3">
        <f t="shared" ref="Y20:Y24" si="9">SUM(S20:X20)</f>
        <v>12</v>
      </c>
    </row>
    <row r="21" spans="1:31" x14ac:dyDescent="0.3">
      <c r="A21" s="3" t="s">
        <v>5</v>
      </c>
      <c r="B21" s="5">
        <f>B$13*$H9/$H$13</f>
        <v>1.2</v>
      </c>
      <c r="C21" s="5">
        <f>C$13*$H9/$H$13</f>
        <v>1.08</v>
      </c>
      <c r="D21" s="7">
        <f>D$13*$H9/$H$13</f>
        <v>0.96</v>
      </c>
      <c r="E21" s="5">
        <f>E$13*$H9/$H$13</f>
        <v>1.2</v>
      </c>
      <c r="F21" s="5">
        <f>F$13*$H9/$H$13</f>
        <v>0.6</v>
      </c>
      <c r="G21" s="5">
        <f t="shared" si="6"/>
        <v>0.96</v>
      </c>
      <c r="H21" s="3">
        <f t="shared" si="7"/>
        <v>6</v>
      </c>
      <c r="M21" s="11" t="s">
        <v>23</v>
      </c>
      <c r="N21" s="1">
        <f>1-(N18/N19)</f>
        <v>0.48107448107448103</v>
      </c>
      <c r="R21" s="3" t="s">
        <v>5</v>
      </c>
      <c r="S21" s="5">
        <f>S$13*$H9/$H$13</f>
        <v>1.2</v>
      </c>
      <c r="T21" s="5">
        <f>T$13*$H9/$H$13</f>
        <v>1.08</v>
      </c>
      <c r="U21" s="7">
        <f>U$13*$H9/$H$13</f>
        <v>0.96</v>
      </c>
      <c r="V21" s="5">
        <f>V$13*$H9/$H$13</f>
        <v>1.2</v>
      </c>
      <c r="W21" s="5">
        <f>W$13*$H9/$H$13</f>
        <v>0.6</v>
      </c>
      <c r="X21" s="5">
        <f t="shared" ref="X21" si="10">X$13*$H9/$H$13</f>
        <v>0.96</v>
      </c>
      <c r="Y21" s="3">
        <f t="shared" si="9"/>
        <v>6</v>
      </c>
      <c r="AD21" s="11" t="s">
        <v>23</v>
      </c>
      <c r="AE21" s="1">
        <f>1-(AE18/AE19)</f>
        <v>0.42112879884225751</v>
      </c>
    </row>
    <row r="22" spans="1:31" x14ac:dyDescent="0.3">
      <c r="A22" s="3" t="s">
        <v>29</v>
      </c>
      <c r="B22" s="5">
        <f>B$13*$H10/$H$13</f>
        <v>1.4</v>
      </c>
      <c r="C22" s="5">
        <f>C$13*$H10/$H$13</f>
        <v>1.26</v>
      </c>
      <c r="D22" s="5">
        <f>D$13*$H10/$H$13</f>
        <v>1.1200000000000001</v>
      </c>
      <c r="E22" s="7">
        <f>E$13*$H10/$H$13</f>
        <v>1.4</v>
      </c>
      <c r="F22" s="5">
        <f>F$13*$H10/$H$13</f>
        <v>0.7</v>
      </c>
      <c r="G22" s="5">
        <f t="shared" si="6"/>
        <v>1.1200000000000001</v>
      </c>
      <c r="H22" s="3">
        <f t="shared" si="7"/>
        <v>7</v>
      </c>
      <c r="M22" s="11"/>
      <c r="R22" s="3" t="s">
        <v>29</v>
      </c>
      <c r="S22" s="5">
        <f>S$13*$H10/$H$13</f>
        <v>1.4</v>
      </c>
      <c r="T22" s="5">
        <f>T$13*$H10/$H$13</f>
        <v>1.26</v>
      </c>
      <c r="U22" s="5">
        <f>U$13*$H10/$H$13</f>
        <v>1.1200000000000001</v>
      </c>
      <c r="V22" s="7">
        <f>V$13*$H10/$H$13</f>
        <v>1.4</v>
      </c>
      <c r="W22" s="5">
        <f>W$13*$H10/$H$13</f>
        <v>0.7</v>
      </c>
      <c r="X22" s="5">
        <f t="shared" ref="X22" si="11">X$13*$H10/$H$13</f>
        <v>1.1200000000000001</v>
      </c>
      <c r="Y22" s="3">
        <f t="shared" si="9"/>
        <v>7</v>
      </c>
      <c r="AD22" s="11"/>
    </row>
    <row r="23" spans="1:31" x14ac:dyDescent="0.3">
      <c r="A23" s="3" t="s">
        <v>32</v>
      </c>
      <c r="B23" s="5">
        <f>B$13*$H11/$H$13</f>
        <v>1.4</v>
      </c>
      <c r="C23" s="5">
        <f>C$13*$H11/$H$13</f>
        <v>1.26</v>
      </c>
      <c r="D23" s="5">
        <f>D$13*$H11/$H$13</f>
        <v>1.1200000000000001</v>
      </c>
      <c r="E23" s="5">
        <f>E$13*$H11/$H$13</f>
        <v>1.4</v>
      </c>
      <c r="F23" s="7">
        <f>F$13*$H11/$H$13</f>
        <v>0.7</v>
      </c>
      <c r="G23" s="5">
        <f t="shared" si="6"/>
        <v>1.1200000000000001</v>
      </c>
      <c r="H23" s="3">
        <f t="shared" si="7"/>
        <v>7</v>
      </c>
      <c r="M23" s="11"/>
      <c r="R23" s="3" t="s">
        <v>32</v>
      </c>
      <c r="S23" s="5">
        <f>S$13*$H11/$H$13</f>
        <v>1.4</v>
      </c>
      <c r="T23" s="5">
        <f>T$13*$H11/$H$13</f>
        <v>1.26</v>
      </c>
      <c r="U23" s="5">
        <f>U$13*$H11/$H$13</f>
        <v>1.1200000000000001</v>
      </c>
      <c r="V23" s="5">
        <f>V$13*$H11/$H$13</f>
        <v>1.4</v>
      </c>
      <c r="W23" s="7">
        <f>W$13*$H11/$H$13</f>
        <v>0.7</v>
      </c>
      <c r="X23" s="5">
        <f t="shared" ref="X23:X24" si="12">X$13*$H11/$H$13</f>
        <v>1.1200000000000001</v>
      </c>
      <c r="Y23" s="3">
        <f t="shared" si="9"/>
        <v>7</v>
      </c>
      <c r="AD23" s="11"/>
    </row>
    <row r="24" spans="1:31" x14ac:dyDescent="0.3">
      <c r="A24" s="3" t="s">
        <v>33</v>
      </c>
      <c r="B24" s="5">
        <f>B$13*$H12/$H$13</f>
        <v>1.4</v>
      </c>
      <c r="C24" s="5">
        <f t="shared" ref="C24:F24" si="13">C$13*$H12/$H$13</f>
        <v>1.26</v>
      </c>
      <c r="D24" s="5">
        <f t="shared" si="13"/>
        <v>1.1200000000000001</v>
      </c>
      <c r="E24" s="5">
        <f t="shared" si="13"/>
        <v>1.4</v>
      </c>
      <c r="F24" s="5">
        <f t="shared" si="13"/>
        <v>0.7</v>
      </c>
      <c r="G24" s="7">
        <f t="shared" si="6"/>
        <v>1.1200000000000001</v>
      </c>
      <c r="H24" s="3">
        <f t="shared" si="7"/>
        <v>7</v>
      </c>
      <c r="M24" s="11"/>
      <c r="R24" s="3" t="s">
        <v>33</v>
      </c>
      <c r="S24" s="5">
        <f>S$13*$H12/$H$13</f>
        <v>1.4</v>
      </c>
      <c r="T24" s="5">
        <f t="shared" ref="T24:W24" si="14">T$13*$H12/$H$13</f>
        <v>1.26</v>
      </c>
      <c r="U24" s="5">
        <f t="shared" si="14"/>
        <v>1.1200000000000001</v>
      </c>
      <c r="V24" s="5">
        <f t="shared" si="14"/>
        <v>1.4</v>
      </c>
      <c r="W24" s="5">
        <f t="shared" si="14"/>
        <v>0.7</v>
      </c>
      <c r="X24" s="7">
        <f t="shared" si="12"/>
        <v>1.1200000000000001</v>
      </c>
      <c r="Y24" s="3">
        <f t="shared" si="9"/>
        <v>7</v>
      </c>
      <c r="AD24" s="11"/>
    </row>
    <row r="25" spans="1:31" x14ac:dyDescent="0.3">
      <c r="A25" s="3" t="s">
        <v>6</v>
      </c>
      <c r="B25" s="3">
        <f>SUM(B19:B24)</f>
        <v>10</v>
      </c>
      <c r="C25" s="3">
        <f t="shared" ref="C25:G25" si="15">SUM(C19:C24)</f>
        <v>9</v>
      </c>
      <c r="D25" s="3">
        <f t="shared" si="15"/>
        <v>8</v>
      </c>
      <c r="E25" s="3">
        <f t="shared" si="15"/>
        <v>10</v>
      </c>
      <c r="F25" s="3">
        <f t="shared" si="15"/>
        <v>5</v>
      </c>
      <c r="G25" s="3">
        <f t="shared" si="15"/>
        <v>8</v>
      </c>
      <c r="H25" s="3">
        <f>SUM(B19:G24)</f>
        <v>49.999999999999986</v>
      </c>
      <c r="J25"/>
      <c r="R25" s="3" t="s">
        <v>6</v>
      </c>
      <c r="S25" s="3">
        <f>SUM(S19:S24)</f>
        <v>10</v>
      </c>
      <c r="T25" s="3">
        <f t="shared" ref="T25:X25" si="16">SUM(T19:T24)</f>
        <v>9</v>
      </c>
      <c r="U25" s="3">
        <f t="shared" si="16"/>
        <v>8</v>
      </c>
      <c r="V25" s="3">
        <f t="shared" si="16"/>
        <v>10</v>
      </c>
      <c r="W25" s="3">
        <f t="shared" si="16"/>
        <v>5</v>
      </c>
      <c r="X25" s="3">
        <f t="shared" si="16"/>
        <v>8</v>
      </c>
      <c r="Y25" s="3">
        <f>SUM(S19:X24)</f>
        <v>49.999999999999986</v>
      </c>
    </row>
    <row r="26" spans="1:31" x14ac:dyDescent="0.3">
      <c r="L26"/>
    </row>
    <row r="29" spans="1:31" x14ac:dyDescent="0.3">
      <c r="R29"/>
    </row>
    <row r="30" spans="1:31" x14ac:dyDescent="0.3">
      <c r="R30"/>
    </row>
    <row r="33" spans="1:32" x14ac:dyDescent="0.3">
      <c r="A33" s="2" t="s">
        <v>21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3">
      <c r="J34" s="6" t="s">
        <v>17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20"/>
      <c r="AB34" s="9"/>
      <c r="AC34" s="9"/>
      <c r="AD34" s="9"/>
      <c r="AE34" s="9"/>
      <c r="AF34" s="9"/>
    </row>
    <row r="35" spans="1:32" x14ac:dyDescent="0.3">
      <c r="A35" s="3"/>
      <c r="B35" s="3"/>
      <c r="C35" s="3" t="s">
        <v>1</v>
      </c>
      <c r="D35" s="3"/>
      <c r="E35" s="3"/>
      <c r="F35" s="3"/>
      <c r="G35" s="3"/>
      <c r="H35" s="3"/>
      <c r="J35" s="3"/>
      <c r="K35" s="3"/>
      <c r="L35" s="3" t="s">
        <v>14</v>
      </c>
      <c r="M35" s="23"/>
      <c r="N35" s="3"/>
      <c r="O35" s="23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29</v>
      </c>
      <c r="F36" s="3" t="s">
        <v>32</v>
      </c>
      <c r="G36" s="3" t="s">
        <v>33</v>
      </c>
      <c r="H36" s="3" t="s">
        <v>6</v>
      </c>
      <c r="J36" s="3"/>
      <c r="K36" s="3" t="s">
        <v>3</v>
      </c>
      <c r="L36" s="3" t="s">
        <v>4</v>
      </c>
      <c r="M36" s="23" t="s">
        <v>5</v>
      </c>
      <c r="N36" s="3" t="s">
        <v>29</v>
      </c>
      <c r="O36" s="23" t="s">
        <v>32</v>
      </c>
      <c r="P36" s="3" t="s">
        <v>33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3">
      <c r="A37" s="3" t="s">
        <v>3</v>
      </c>
      <c r="B37" s="7">
        <f>B7</f>
        <v>6</v>
      </c>
      <c r="C37" s="5">
        <f>C7</f>
        <v>2</v>
      </c>
      <c r="D37" s="5">
        <f>D7</f>
        <v>1</v>
      </c>
      <c r="E37" s="5">
        <f>E7</f>
        <v>1</v>
      </c>
      <c r="F37" s="5">
        <f>F7</f>
        <v>0</v>
      </c>
      <c r="G37" s="5">
        <f>G7</f>
        <v>1</v>
      </c>
      <c r="H37" s="3">
        <f>SUM(B37:G37)</f>
        <v>11</v>
      </c>
      <c r="J37" s="3" t="s">
        <v>3</v>
      </c>
      <c r="K37" s="5">
        <v>0</v>
      </c>
      <c r="L37" s="5">
        <v>0.04</v>
      </c>
      <c r="M37" s="5">
        <v>0.16</v>
      </c>
      <c r="N37" s="5">
        <v>0.36</v>
      </c>
      <c r="O37" s="24">
        <v>0.64</v>
      </c>
      <c r="P37" s="5">
        <v>1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3">
      <c r="A38" s="3" t="s">
        <v>4</v>
      </c>
      <c r="B38" s="5">
        <f>B8</f>
        <v>2</v>
      </c>
      <c r="C38" s="7">
        <f>C8</f>
        <v>5</v>
      </c>
      <c r="D38" s="5">
        <f>D8</f>
        <v>1</v>
      </c>
      <c r="E38" s="5">
        <f>E8</f>
        <v>2</v>
      </c>
      <c r="F38" s="5">
        <f>F8</f>
        <v>1</v>
      </c>
      <c r="G38" s="5">
        <f t="shared" ref="G38:G42" si="17">G8</f>
        <v>1</v>
      </c>
      <c r="H38" s="3">
        <f t="shared" ref="H38:H42" si="18">SUM(B38:G38)</f>
        <v>12</v>
      </c>
      <c r="J38" s="3" t="s">
        <v>4</v>
      </c>
      <c r="K38" s="5">
        <v>0.04</v>
      </c>
      <c r="L38" s="5">
        <v>0</v>
      </c>
      <c r="M38" s="5">
        <v>0.04</v>
      </c>
      <c r="N38" s="5">
        <v>0.16</v>
      </c>
      <c r="O38" s="24">
        <v>0.36</v>
      </c>
      <c r="P38" s="5">
        <v>0.64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3">
      <c r="A39" s="3" t="s">
        <v>5</v>
      </c>
      <c r="B39" s="5">
        <f>B9</f>
        <v>1</v>
      </c>
      <c r="C39" s="5">
        <f>C9</f>
        <v>0</v>
      </c>
      <c r="D39" s="7">
        <f>D9</f>
        <v>4</v>
      </c>
      <c r="E39" s="5">
        <f>E9</f>
        <v>0</v>
      </c>
      <c r="F39" s="5">
        <f>F9</f>
        <v>1</v>
      </c>
      <c r="G39" s="5">
        <f t="shared" si="17"/>
        <v>0</v>
      </c>
      <c r="H39" s="3">
        <f t="shared" si="18"/>
        <v>6</v>
      </c>
      <c r="J39" s="3" t="s">
        <v>5</v>
      </c>
      <c r="K39" s="5">
        <v>0.16</v>
      </c>
      <c r="L39" s="5">
        <v>0.04</v>
      </c>
      <c r="M39" s="5">
        <v>0</v>
      </c>
      <c r="N39" s="5">
        <v>0.04</v>
      </c>
      <c r="O39" s="24">
        <v>0.16</v>
      </c>
      <c r="P39" s="5">
        <v>0.36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3">
      <c r="A40" s="3" t="s">
        <v>29</v>
      </c>
      <c r="B40" s="5">
        <f>B10</f>
        <v>1</v>
      </c>
      <c r="C40" s="5">
        <f>C10</f>
        <v>1</v>
      </c>
      <c r="D40" s="5">
        <f>D10</f>
        <v>0</v>
      </c>
      <c r="E40" s="7">
        <f>E10</f>
        <v>4</v>
      </c>
      <c r="F40" s="5">
        <f>F10</f>
        <v>0</v>
      </c>
      <c r="G40" s="5">
        <f t="shared" si="17"/>
        <v>1</v>
      </c>
      <c r="H40" s="3">
        <f t="shared" si="18"/>
        <v>7</v>
      </c>
      <c r="J40" s="25" t="s">
        <v>29</v>
      </c>
      <c r="K40" s="26">
        <v>0.36</v>
      </c>
      <c r="L40" s="26">
        <v>0.16</v>
      </c>
      <c r="M40" s="26">
        <v>0.04</v>
      </c>
      <c r="N40" s="26">
        <v>0</v>
      </c>
      <c r="O40" s="24">
        <v>0.04</v>
      </c>
      <c r="P40" s="5">
        <v>0.16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3">
      <c r="A41" s="3" t="s">
        <v>32</v>
      </c>
      <c r="B41" s="5">
        <f>B11</f>
        <v>0</v>
      </c>
      <c r="C41" s="5">
        <f>C11</f>
        <v>0</v>
      </c>
      <c r="D41" s="5">
        <f>D11</f>
        <v>2</v>
      </c>
      <c r="E41" s="5">
        <f>E11</f>
        <v>1</v>
      </c>
      <c r="F41" s="7">
        <f>F11</f>
        <v>3</v>
      </c>
      <c r="G41" s="5">
        <f t="shared" si="17"/>
        <v>1</v>
      </c>
      <c r="H41" s="3">
        <f t="shared" si="18"/>
        <v>7</v>
      </c>
      <c r="J41" s="3" t="s">
        <v>32</v>
      </c>
      <c r="K41" s="5">
        <v>0.64</v>
      </c>
      <c r="L41" s="5">
        <v>0.36</v>
      </c>
      <c r="M41" s="5">
        <v>0.16</v>
      </c>
      <c r="N41" s="5">
        <v>0.04</v>
      </c>
      <c r="O41" s="24">
        <v>0</v>
      </c>
      <c r="P41" s="5">
        <v>0.04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3">
      <c r="A42" s="3" t="s">
        <v>33</v>
      </c>
      <c r="B42" s="5">
        <f>B12</f>
        <v>0</v>
      </c>
      <c r="C42" s="5">
        <f t="shared" ref="C42:G42" si="19">C12</f>
        <v>1</v>
      </c>
      <c r="D42" s="5">
        <f t="shared" si="19"/>
        <v>0</v>
      </c>
      <c r="E42" s="5">
        <f t="shared" si="19"/>
        <v>2</v>
      </c>
      <c r="F42" s="5">
        <f t="shared" si="19"/>
        <v>0</v>
      </c>
      <c r="G42" s="7">
        <f t="shared" si="17"/>
        <v>4</v>
      </c>
      <c r="H42" s="3">
        <f t="shared" si="18"/>
        <v>7</v>
      </c>
      <c r="J42" s="3" t="s">
        <v>33</v>
      </c>
      <c r="K42" s="5">
        <v>1</v>
      </c>
      <c r="L42" s="5">
        <v>0.64</v>
      </c>
      <c r="M42" s="5">
        <v>0.36</v>
      </c>
      <c r="N42" s="5">
        <v>0.16</v>
      </c>
      <c r="O42" s="5">
        <v>0.04</v>
      </c>
      <c r="P42" s="5">
        <v>0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3">
      <c r="A43" s="3" t="s">
        <v>6</v>
      </c>
      <c r="B43" s="3">
        <f>SUM(B37:B42)</f>
        <v>10</v>
      </c>
      <c r="C43" s="3">
        <f t="shared" ref="C43:G43" si="20">SUM(C37:C42)</f>
        <v>9</v>
      </c>
      <c r="D43" s="3">
        <f t="shared" si="20"/>
        <v>8</v>
      </c>
      <c r="E43" s="3">
        <f t="shared" si="20"/>
        <v>10</v>
      </c>
      <c r="F43" s="3">
        <f t="shared" si="20"/>
        <v>5</v>
      </c>
      <c r="G43" s="3">
        <f t="shared" si="20"/>
        <v>8</v>
      </c>
      <c r="H43" s="3">
        <f>SUM(B37:G42)</f>
        <v>50</v>
      </c>
      <c r="J43" s="8"/>
      <c r="K43" s="8"/>
      <c r="L43" s="8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3"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3">
      <c r="A45" s="2" t="s">
        <v>22</v>
      </c>
      <c r="B45"/>
      <c r="Q45" s="9"/>
      <c r="R45" s="9"/>
      <c r="S45" s="21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x14ac:dyDescent="0.3"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x14ac:dyDescent="0.3">
      <c r="A47" s="3"/>
      <c r="B47" s="3"/>
      <c r="C47" s="3" t="s">
        <v>1</v>
      </c>
      <c r="D47" s="3"/>
      <c r="E47" s="3"/>
      <c r="F47" s="3"/>
      <c r="G47" s="3"/>
      <c r="H47" s="3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29</v>
      </c>
      <c r="F48" s="3" t="s">
        <v>32</v>
      </c>
      <c r="G48" s="3" t="s">
        <v>33</v>
      </c>
      <c r="H48" s="3" t="s">
        <v>6</v>
      </c>
      <c r="J48" s="2" t="s">
        <v>9</v>
      </c>
      <c r="K48" s="2">
        <f>1-(M48/M49)</f>
        <v>0.55029980013324453</v>
      </c>
      <c r="L48" s="11" t="s">
        <v>30</v>
      </c>
      <c r="M48" s="2">
        <f>SUMPRODUCT(B37:G42,K37:P42)</f>
        <v>5.4</v>
      </c>
      <c r="N48" s="2"/>
      <c r="O48" s="2"/>
      <c r="P48" s="2"/>
      <c r="Q48" s="9"/>
      <c r="R48" s="9"/>
      <c r="S48" s="9"/>
      <c r="T48" s="9"/>
      <c r="U48" s="9"/>
      <c r="V48" s="9"/>
      <c r="W48" s="9"/>
      <c r="X48" s="9"/>
      <c r="Y48" s="9"/>
      <c r="Z48" s="9"/>
      <c r="AA48" s="22"/>
      <c r="AB48" s="22"/>
      <c r="AC48" s="9"/>
      <c r="AD48" s="22"/>
      <c r="AE48" s="9"/>
      <c r="AF48" s="9"/>
    </row>
    <row r="49" spans="1:32" x14ac:dyDescent="0.3">
      <c r="A49" s="3" t="s">
        <v>3</v>
      </c>
      <c r="B49" s="7">
        <f>B$13*$H37/$H$13</f>
        <v>2.2000000000000002</v>
      </c>
      <c r="C49" s="5">
        <f>C$13*$H37/$H$13</f>
        <v>1.98</v>
      </c>
      <c r="D49" s="5">
        <f>D$13*$H37/$H$13</f>
        <v>1.76</v>
      </c>
      <c r="E49" s="5">
        <f>E$13*$H37/$H$13</f>
        <v>2.2000000000000002</v>
      </c>
      <c r="F49" s="5">
        <f>F$13*$H37/$H$13</f>
        <v>1.1000000000000001</v>
      </c>
      <c r="G49" s="5">
        <f>G$13*$H37/$H$13</f>
        <v>1.76</v>
      </c>
      <c r="H49" s="3">
        <f>SUM(B49:G49)</f>
        <v>11</v>
      </c>
      <c r="L49" s="11" t="s">
        <v>31</v>
      </c>
      <c r="M49" s="2">
        <f>SUMPRODUCT(B49:G54,K37:P42)</f>
        <v>12.008000000000001</v>
      </c>
      <c r="N49" s="2"/>
      <c r="O49" s="2"/>
      <c r="P49" s="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22"/>
      <c r="AE49" s="9"/>
      <c r="AF49" s="9"/>
    </row>
    <row r="50" spans="1:32" x14ac:dyDescent="0.3">
      <c r="A50" s="3" t="s">
        <v>4</v>
      </c>
      <c r="B50" s="5">
        <f>B$13*$H38/$H$13</f>
        <v>2.4</v>
      </c>
      <c r="C50" s="7">
        <f>C$13*$H38/$H$13</f>
        <v>2.16</v>
      </c>
      <c r="D50" s="5">
        <f>D$13*$H38/$H$13</f>
        <v>1.92</v>
      </c>
      <c r="E50" s="5">
        <f>E$13*$H38/$H$13</f>
        <v>2.4</v>
      </c>
      <c r="F50" s="5">
        <f>F$13*$H38/$H$13</f>
        <v>1.2</v>
      </c>
      <c r="G50" s="5">
        <f t="shared" ref="G50:G54" si="21">G$13*$H38/$H$13</f>
        <v>1.92</v>
      </c>
      <c r="H50" s="3">
        <f t="shared" ref="H50:H54" si="22">SUM(B50:G50)</f>
        <v>12</v>
      </c>
      <c r="J50"/>
      <c r="Q50" s="9"/>
      <c r="R50" s="9"/>
      <c r="S50" s="9"/>
      <c r="T50" s="9"/>
      <c r="U50" s="9"/>
      <c r="V50" s="9"/>
      <c r="W50" s="9"/>
      <c r="X50" s="9"/>
      <c r="Y50" s="9"/>
      <c r="Z50" s="9"/>
      <c r="AA50" s="21"/>
      <c r="AB50" s="9"/>
      <c r="AC50" s="9"/>
      <c r="AD50" s="9"/>
      <c r="AE50" s="9"/>
      <c r="AF50" s="9"/>
    </row>
    <row r="51" spans="1:32" x14ac:dyDescent="0.3">
      <c r="A51" s="3" t="s">
        <v>5</v>
      </c>
      <c r="B51" s="5">
        <f>B$13*$H39/$H$13</f>
        <v>1.2</v>
      </c>
      <c r="C51" s="5">
        <f>C$13*$H39/$H$13</f>
        <v>1.08</v>
      </c>
      <c r="D51" s="7">
        <f>D$13*$H39/$H$13</f>
        <v>0.96</v>
      </c>
      <c r="E51" s="5">
        <f>E$13*$H39/$H$13</f>
        <v>1.2</v>
      </c>
      <c r="F51" s="5">
        <f>F$13*$H39/$H$13</f>
        <v>0.6</v>
      </c>
      <c r="G51" s="5">
        <f t="shared" si="21"/>
        <v>0.96</v>
      </c>
      <c r="H51" s="3">
        <f t="shared" si="22"/>
        <v>6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x14ac:dyDescent="0.3">
      <c r="A52" s="3" t="s">
        <v>29</v>
      </c>
      <c r="B52" s="5">
        <f>B$13*$H40/$H$13</f>
        <v>1.4</v>
      </c>
      <c r="C52" s="5">
        <f>C$13*$H40/$H$13</f>
        <v>1.26</v>
      </c>
      <c r="D52" s="5">
        <f>D$13*$H40/$H$13</f>
        <v>1.1200000000000001</v>
      </c>
      <c r="E52" s="7">
        <f>E$13*$H40/$H$13</f>
        <v>1.4</v>
      </c>
      <c r="F52" s="5">
        <f>F$13*$H40/$H$13</f>
        <v>0.7</v>
      </c>
      <c r="G52" s="5">
        <f t="shared" si="21"/>
        <v>1.1200000000000001</v>
      </c>
      <c r="H52" s="3">
        <f t="shared" si="22"/>
        <v>7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3">
      <c r="A53" s="3" t="s">
        <v>32</v>
      </c>
      <c r="B53" s="5">
        <f>B$13*$H41/$H$13</f>
        <v>1.4</v>
      </c>
      <c r="C53" s="5">
        <f>C$13*$H41/$H$13</f>
        <v>1.26</v>
      </c>
      <c r="D53" s="5">
        <f>D$13*$H41/$H$13</f>
        <v>1.1200000000000001</v>
      </c>
      <c r="E53" s="5">
        <f>E$13*$H41/$H$13</f>
        <v>1.4</v>
      </c>
      <c r="F53" s="7">
        <f>F$13*$H41/$H$13</f>
        <v>0.7</v>
      </c>
      <c r="G53" s="5">
        <f t="shared" si="21"/>
        <v>1.1200000000000001</v>
      </c>
      <c r="H53" s="3">
        <f t="shared" si="22"/>
        <v>7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x14ac:dyDescent="0.3">
      <c r="A54" s="3" t="s">
        <v>33</v>
      </c>
      <c r="B54" s="5">
        <f>B$13*$H42/$H$13</f>
        <v>1.4</v>
      </c>
      <c r="C54" s="5">
        <f t="shared" ref="C54:F54" si="23">C$13*$H42/$H$13</f>
        <v>1.26</v>
      </c>
      <c r="D54" s="5">
        <f t="shared" si="23"/>
        <v>1.1200000000000001</v>
      </c>
      <c r="E54" s="5">
        <f t="shared" si="23"/>
        <v>1.4</v>
      </c>
      <c r="F54" s="5">
        <f t="shared" si="23"/>
        <v>0.7</v>
      </c>
      <c r="G54" s="7">
        <f t="shared" si="21"/>
        <v>1.1200000000000001</v>
      </c>
      <c r="H54" s="3">
        <f t="shared" si="22"/>
        <v>7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x14ac:dyDescent="0.3">
      <c r="A55" s="3" t="s">
        <v>6</v>
      </c>
      <c r="B55" s="3">
        <f>SUM(B49:B54)</f>
        <v>10</v>
      </c>
      <c r="C55" s="3">
        <f t="shared" ref="C55:G55" si="24">SUM(C49:C54)</f>
        <v>9</v>
      </c>
      <c r="D55" s="3">
        <f t="shared" si="24"/>
        <v>8</v>
      </c>
      <c r="E55" s="3">
        <f t="shared" si="24"/>
        <v>10</v>
      </c>
      <c r="F55" s="3">
        <f t="shared" si="24"/>
        <v>5</v>
      </c>
      <c r="G55" s="3">
        <f t="shared" si="24"/>
        <v>8</v>
      </c>
      <c r="H55" s="3">
        <f>SUM(B49:G54)</f>
        <v>49.999999999999986</v>
      </c>
      <c r="J55"/>
      <c r="Q55" s="9"/>
      <c r="R55" s="9"/>
      <c r="S55" s="9"/>
      <c r="T55" s="9"/>
      <c r="U55" s="9"/>
      <c r="V55" s="9"/>
      <c r="W55" s="9"/>
      <c r="X55" s="9"/>
      <c r="Y55" s="9"/>
      <c r="Z55" s="9"/>
      <c r="AA55" s="21"/>
      <c r="AB55" s="9"/>
      <c r="AC55" s="9"/>
      <c r="AD55" s="9"/>
      <c r="AE55" s="9"/>
      <c r="AF55" s="9"/>
    </row>
    <row r="56" spans="1:32" x14ac:dyDescent="0.3"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x14ac:dyDescent="0.3"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5BD8-B768-4DE1-A9E5-2CE7A528E317}">
  <dimension ref="A2:AG57"/>
  <sheetViews>
    <sheetView topLeftCell="A7" zoomScale="85" zoomScaleNormal="85" workbookViewId="0">
      <selection activeCell="N30" sqref="N30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33" x14ac:dyDescent="0.3">
      <c r="A2" s="2"/>
    </row>
    <row r="3" spans="1:33" x14ac:dyDescent="0.3">
      <c r="A3" s="2" t="s">
        <v>21</v>
      </c>
      <c r="Q3" s="2"/>
      <c r="R3" s="2" t="s">
        <v>21</v>
      </c>
    </row>
    <row r="4" spans="1:33" x14ac:dyDescent="0.3">
      <c r="J4" s="6" t="s">
        <v>16</v>
      </c>
      <c r="AA4" s="6" t="s">
        <v>18</v>
      </c>
    </row>
    <row r="5" spans="1:33" x14ac:dyDescent="0.3">
      <c r="A5" s="3"/>
      <c r="B5" s="3"/>
      <c r="C5" s="3" t="s">
        <v>1</v>
      </c>
      <c r="D5" s="3"/>
      <c r="E5" s="3"/>
      <c r="F5" s="3"/>
      <c r="G5" s="3"/>
      <c r="H5" s="3"/>
      <c r="J5" s="3"/>
      <c r="K5" s="3"/>
      <c r="L5" s="3" t="s">
        <v>14</v>
      </c>
      <c r="M5" s="3"/>
      <c r="N5" s="23"/>
      <c r="O5" s="23"/>
      <c r="P5" s="3"/>
      <c r="R5" s="3"/>
      <c r="S5" s="3"/>
      <c r="T5" s="3" t="s">
        <v>1</v>
      </c>
      <c r="U5" s="3"/>
      <c r="V5" s="3"/>
      <c r="W5" s="3"/>
      <c r="X5" s="3"/>
      <c r="Y5" s="3"/>
      <c r="AA5" s="3"/>
      <c r="AB5" s="3"/>
      <c r="AC5" s="3" t="s">
        <v>14</v>
      </c>
      <c r="AD5" s="3"/>
      <c r="AE5" s="3"/>
      <c r="AF5" s="3"/>
      <c r="AG5" s="3"/>
    </row>
    <row r="6" spans="1:33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33</v>
      </c>
      <c r="H6" s="3" t="s">
        <v>6</v>
      </c>
      <c r="J6" s="3"/>
      <c r="K6" s="3" t="s">
        <v>3</v>
      </c>
      <c r="L6" s="3" t="s">
        <v>4</v>
      </c>
      <c r="M6" s="3" t="s">
        <v>5</v>
      </c>
      <c r="N6" s="23" t="s">
        <v>29</v>
      </c>
      <c r="O6" s="23" t="s">
        <v>32</v>
      </c>
      <c r="P6" s="3" t="s">
        <v>33</v>
      </c>
      <c r="R6" s="3" t="s">
        <v>2</v>
      </c>
      <c r="S6" s="3" t="s">
        <v>3</v>
      </c>
      <c r="T6" s="3" t="s">
        <v>4</v>
      </c>
      <c r="U6" s="3" t="s">
        <v>5</v>
      </c>
      <c r="V6" s="3" t="s">
        <v>29</v>
      </c>
      <c r="W6" s="3" t="s">
        <v>32</v>
      </c>
      <c r="X6" s="3" t="s">
        <v>33</v>
      </c>
      <c r="Y6" s="3" t="s">
        <v>6</v>
      </c>
      <c r="AA6" s="3"/>
      <c r="AB6" s="3" t="s">
        <v>3</v>
      </c>
      <c r="AC6" s="3" t="s">
        <v>4</v>
      </c>
      <c r="AD6" s="3" t="s">
        <v>5</v>
      </c>
      <c r="AE6" s="3" t="s">
        <v>29</v>
      </c>
      <c r="AF6" s="23" t="s">
        <v>32</v>
      </c>
      <c r="AG6" s="3" t="s">
        <v>33</v>
      </c>
    </row>
    <row r="7" spans="1:33" x14ac:dyDescent="0.3">
      <c r="A7" s="3" t="s">
        <v>3</v>
      </c>
      <c r="B7" s="7">
        <v>15</v>
      </c>
      <c r="C7" s="5">
        <v>2</v>
      </c>
      <c r="D7" s="5">
        <v>1</v>
      </c>
      <c r="E7" s="5">
        <v>1</v>
      </c>
      <c r="F7" s="5">
        <v>0</v>
      </c>
      <c r="G7" s="5">
        <v>1</v>
      </c>
      <c r="H7" s="3">
        <f>SUM(B7:G7)</f>
        <v>20</v>
      </c>
      <c r="J7" s="3" t="s">
        <v>3</v>
      </c>
      <c r="K7" s="5">
        <v>0</v>
      </c>
      <c r="L7" s="5">
        <v>1</v>
      </c>
      <c r="M7" s="5">
        <v>2</v>
      </c>
      <c r="N7" s="24">
        <v>3</v>
      </c>
      <c r="O7" s="24">
        <v>4</v>
      </c>
      <c r="P7" s="5">
        <v>5</v>
      </c>
      <c r="R7" s="3" t="s">
        <v>3</v>
      </c>
      <c r="S7" s="7">
        <f>B7</f>
        <v>15</v>
      </c>
      <c r="T7" s="5">
        <f>C7</f>
        <v>2</v>
      </c>
      <c r="U7" s="5">
        <f>D7</f>
        <v>1</v>
      </c>
      <c r="V7" s="5">
        <f>E7</f>
        <v>1</v>
      </c>
      <c r="W7" s="5">
        <f>F7</f>
        <v>0</v>
      </c>
      <c r="X7" s="5">
        <f>G7</f>
        <v>1</v>
      </c>
      <c r="Y7" s="3">
        <f>SUM(S7:X7)</f>
        <v>20</v>
      </c>
      <c r="AA7" s="3" t="s">
        <v>3</v>
      </c>
      <c r="AB7" s="5">
        <v>0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</row>
    <row r="8" spans="1:33" x14ac:dyDescent="0.3">
      <c r="A8" s="3" t="s">
        <v>4</v>
      </c>
      <c r="B8" s="5">
        <v>2</v>
      </c>
      <c r="C8" s="7">
        <v>2</v>
      </c>
      <c r="D8" s="5">
        <v>1</v>
      </c>
      <c r="E8" s="5">
        <v>2</v>
      </c>
      <c r="F8" s="5">
        <v>1</v>
      </c>
      <c r="G8" s="5">
        <v>1</v>
      </c>
      <c r="H8" s="3">
        <f>SUM(B8:G8)</f>
        <v>9</v>
      </c>
      <c r="J8" s="3" t="s">
        <v>4</v>
      </c>
      <c r="K8" s="5">
        <v>1</v>
      </c>
      <c r="L8" s="5">
        <v>0</v>
      </c>
      <c r="M8" s="5">
        <v>1</v>
      </c>
      <c r="N8" s="24">
        <v>2</v>
      </c>
      <c r="O8" s="24">
        <v>3</v>
      </c>
      <c r="P8" s="5">
        <v>4</v>
      </c>
      <c r="R8" s="3" t="s">
        <v>4</v>
      </c>
      <c r="S8" s="5">
        <f>B8</f>
        <v>2</v>
      </c>
      <c r="T8" s="7">
        <f>C8</f>
        <v>2</v>
      </c>
      <c r="U8" s="5">
        <f>D8</f>
        <v>1</v>
      </c>
      <c r="V8" s="5">
        <f>E8</f>
        <v>2</v>
      </c>
      <c r="W8" s="5">
        <f t="shared" ref="W8:X12" si="0">F8</f>
        <v>1</v>
      </c>
      <c r="X8" s="5">
        <f t="shared" si="0"/>
        <v>1</v>
      </c>
      <c r="Y8" s="3">
        <f t="shared" ref="Y8:Y12" si="1">SUM(S8:X8)</f>
        <v>9</v>
      </c>
      <c r="AA8" s="3" t="s">
        <v>4</v>
      </c>
      <c r="AB8" s="5">
        <v>1</v>
      </c>
      <c r="AC8" s="5">
        <v>0</v>
      </c>
      <c r="AD8" s="5">
        <v>1</v>
      </c>
      <c r="AE8" s="5">
        <v>1</v>
      </c>
      <c r="AF8" s="5">
        <v>1</v>
      </c>
      <c r="AG8" s="5">
        <v>1</v>
      </c>
    </row>
    <row r="9" spans="1:33" x14ac:dyDescent="0.3">
      <c r="A9" s="3" t="s">
        <v>5</v>
      </c>
      <c r="B9" s="5">
        <v>1</v>
      </c>
      <c r="C9" s="5">
        <v>0</v>
      </c>
      <c r="D9" s="7">
        <v>3</v>
      </c>
      <c r="E9" s="5">
        <v>0</v>
      </c>
      <c r="F9" s="5">
        <v>1</v>
      </c>
      <c r="G9" s="5">
        <v>0</v>
      </c>
      <c r="H9" s="3">
        <f>SUM(B9:G9)</f>
        <v>5</v>
      </c>
      <c r="J9" s="3" t="s">
        <v>5</v>
      </c>
      <c r="K9" s="5">
        <v>2</v>
      </c>
      <c r="L9" s="5">
        <v>1</v>
      </c>
      <c r="M9" s="5">
        <v>0</v>
      </c>
      <c r="N9" s="24">
        <v>1</v>
      </c>
      <c r="O9" s="24">
        <v>2</v>
      </c>
      <c r="P9" s="5">
        <v>3</v>
      </c>
      <c r="R9" s="3" t="s">
        <v>5</v>
      </c>
      <c r="S9" s="5">
        <f>B9</f>
        <v>1</v>
      </c>
      <c r="T9" s="5">
        <f>C9</f>
        <v>0</v>
      </c>
      <c r="U9" s="7">
        <f>D9</f>
        <v>3</v>
      </c>
      <c r="V9" s="5">
        <f>E9</f>
        <v>0</v>
      </c>
      <c r="W9" s="5">
        <f t="shared" si="0"/>
        <v>1</v>
      </c>
      <c r="X9" s="5">
        <f t="shared" si="0"/>
        <v>0</v>
      </c>
      <c r="Y9" s="3">
        <f t="shared" si="1"/>
        <v>5</v>
      </c>
      <c r="AA9" s="3" t="s">
        <v>5</v>
      </c>
      <c r="AB9" s="5">
        <v>1</v>
      </c>
      <c r="AC9" s="5">
        <v>1</v>
      </c>
      <c r="AD9" s="5">
        <v>0</v>
      </c>
      <c r="AE9" s="5">
        <v>1</v>
      </c>
      <c r="AF9" s="5">
        <v>1</v>
      </c>
      <c r="AG9" s="5">
        <v>1</v>
      </c>
    </row>
    <row r="10" spans="1:33" x14ac:dyDescent="0.3">
      <c r="A10" s="3" t="s">
        <v>29</v>
      </c>
      <c r="B10" s="5">
        <v>1</v>
      </c>
      <c r="C10" s="5">
        <v>1</v>
      </c>
      <c r="D10" s="5">
        <v>0</v>
      </c>
      <c r="E10" s="7">
        <v>2</v>
      </c>
      <c r="F10" s="5">
        <v>0</v>
      </c>
      <c r="G10" s="5">
        <v>1</v>
      </c>
      <c r="H10" s="3">
        <f>SUM(B10:G10)</f>
        <v>5</v>
      </c>
      <c r="J10" s="3" t="s">
        <v>29</v>
      </c>
      <c r="K10" s="5">
        <v>3</v>
      </c>
      <c r="L10" s="5">
        <v>2</v>
      </c>
      <c r="M10" s="5">
        <v>1</v>
      </c>
      <c r="N10" s="24">
        <v>0</v>
      </c>
      <c r="O10" s="24">
        <v>1</v>
      </c>
      <c r="P10" s="5">
        <v>2</v>
      </c>
      <c r="R10" s="3" t="s">
        <v>29</v>
      </c>
      <c r="S10" s="5">
        <f>B10</f>
        <v>1</v>
      </c>
      <c r="T10" s="5">
        <f>C10</f>
        <v>1</v>
      </c>
      <c r="U10" s="5">
        <f>D10</f>
        <v>0</v>
      </c>
      <c r="V10" s="7">
        <f>E10</f>
        <v>2</v>
      </c>
      <c r="W10" s="5">
        <f t="shared" si="0"/>
        <v>0</v>
      </c>
      <c r="X10" s="5">
        <f t="shared" si="0"/>
        <v>1</v>
      </c>
      <c r="Y10" s="3">
        <f t="shared" si="1"/>
        <v>5</v>
      </c>
      <c r="AA10" s="3" t="s">
        <v>29</v>
      </c>
      <c r="AB10" s="5">
        <v>1</v>
      </c>
      <c r="AC10" s="5">
        <v>1</v>
      </c>
      <c r="AD10" s="5">
        <v>1</v>
      </c>
      <c r="AE10" s="5">
        <v>0</v>
      </c>
      <c r="AF10" s="5">
        <v>1</v>
      </c>
      <c r="AG10" s="5">
        <v>1</v>
      </c>
    </row>
    <row r="11" spans="1:33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1</v>
      </c>
      <c r="G11" s="5">
        <v>1</v>
      </c>
      <c r="H11" s="3">
        <f>SUM(B11:G11)</f>
        <v>5</v>
      </c>
      <c r="J11" s="3" t="s">
        <v>32</v>
      </c>
      <c r="K11" s="5">
        <v>4</v>
      </c>
      <c r="L11" s="5">
        <v>3</v>
      </c>
      <c r="M11" s="5">
        <v>2</v>
      </c>
      <c r="N11" s="5">
        <v>1</v>
      </c>
      <c r="O11" s="24">
        <v>0</v>
      </c>
      <c r="P11" s="5">
        <v>1</v>
      </c>
      <c r="R11" s="3" t="s">
        <v>32</v>
      </c>
      <c r="S11" s="5">
        <f>B11</f>
        <v>0</v>
      </c>
      <c r="T11" s="5">
        <f>C11</f>
        <v>0</v>
      </c>
      <c r="U11" s="5">
        <f>D11</f>
        <v>2</v>
      </c>
      <c r="V11" s="5">
        <f>E11</f>
        <v>1</v>
      </c>
      <c r="W11" s="7">
        <f t="shared" si="0"/>
        <v>1</v>
      </c>
      <c r="X11" s="5">
        <f t="shared" si="0"/>
        <v>1</v>
      </c>
      <c r="Y11" s="3">
        <f t="shared" si="1"/>
        <v>5</v>
      </c>
      <c r="AA11" s="3" t="s">
        <v>32</v>
      </c>
      <c r="AB11" s="5">
        <v>1</v>
      </c>
      <c r="AC11" s="5">
        <v>1</v>
      </c>
      <c r="AD11" s="5">
        <v>1</v>
      </c>
      <c r="AE11" s="5">
        <v>1</v>
      </c>
      <c r="AF11" s="5">
        <v>0</v>
      </c>
      <c r="AG11" s="5">
        <v>1</v>
      </c>
    </row>
    <row r="12" spans="1:33" x14ac:dyDescent="0.3">
      <c r="A12" s="3" t="s">
        <v>33</v>
      </c>
      <c r="B12" s="5">
        <v>0</v>
      </c>
      <c r="C12" s="5">
        <v>1</v>
      </c>
      <c r="D12" s="5">
        <v>0</v>
      </c>
      <c r="E12" s="5">
        <v>2</v>
      </c>
      <c r="F12" s="5">
        <v>0</v>
      </c>
      <c r="G12" s="7">
        <v>3</v>
      </c>
      <c r="H12" s="3">
        <f>SUM(B12:G12)</f>
        <v>6</v>
      </c>
      <c r="J12" s="3" t="s">
        <v>33</v>
      </c>
      <c r="K12" s="5">
        <v>5</v>
      </c>
      <c r="L12" s="5">
        <v>4</v>
      </c>
      <c r="M12" s="5">
        <v>3</v>
      </c>
      <c r="N12" s="5">
        <v>2</v>
      </c>
      <c r="O12" s="5">
        <v>1</v>
      </c>
      <c r="P12" s="5">
        <v>0</v>
      </c>
      <c r="R12" s="3" t="s">
        <v>33</v>
      </c>
      <c r="S12" s="5">
        <f>B12</f>
        <v>0</v>
      </c>
      <c r="T12" s="5">
        <f t="shared" ref="T12:V12" si="2">C12</f>
        <v>1</v>
      </c>
      <c r="U12" s="5">
        <f t="shared" si="2"/>
        <v>0</v>
      </c>
      <c r="V12" s="5">
        <f t="shared" si="2"/>
        <v>2</v>
      </c>
      <c r="W12" s="5">
        <f t="shared" si="0"/>
        <v>0</v>
      </c>
      <c r="X12" s="7">
        <f t="shared" si="0"/>
        <v>3</v>
      </c>
      <c r="Y12" s="3">
        <f t="shared" si="1"/>
        <v>6</v>
      </c>
      <c r="AA12" s="3" t="s">
        <v>33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0</v>
      </c>
    </row>
    <row r="13" spans="1:33" x14ac:dyDescent="0.3">
      <c r="A13" s="3" t="s">
        <v>6</v>
      </c>
      <c r="B13" s="3">
        <f>SUM(B7:B12)</f>
        <v>19</v>
      </c>
      <c r="C13" s="3">
        <f>SUM(C7:C12)</f>
        <v>6</v>
      </c>
      <c r="D13" s="3">
        <f>SUM(D7:D12)</f>
        <v>7</v>
      </c>
      <c r="E13" s="3">
        <f>SUM(E7:E12)</f>
        <v>8</v>
      </c>
      <c r="F13" s="3">
        <f>SUM(F7:F12)</f>
        <v>3</v>
      </c>
      <c r="G13" s="3">
        <f>SUM(G7:G12)</f>
        <v>7</v>
      </c>
      <c r="H13" s="3">
        <f>SUM(B7:G12)</f>
        <v>50</v>
      </c>
      <c r="J13" s="8"/>
      <c r="K13" s="8"/>
      <c r="L13" s="8"/>
      <c r="M13" s="8"/>
      <c r="N13" s="9"/>
      <c r="O13" s="9"/>
      <c r="P13" s="9"/>
      <c r="R13" s="3" t="s">
        <v>6</v>
      </c>
      <c r="S13" s="3">
        <f>SUM(S7:S12)</f>
        <v>19</v>
      </c>
      <c r="T13" s="3">
        <f t="shared" ref="T13:X13" si="3">SUM(T7:T12)</f>
        <v>6</v>
      </c>
      <c r="U13" s="3">
        <f t="shared" si="3"/>
        <v>7</v>
      </c>
      <c r="V13" s="3">
        <f t="shared" si="3"/>
        <v>8</v>
      </c>
      <c r="W13" s="3">
        <f t="shared" si="3"/>
        <v>3</v>
      </c>
      <c r="X13" s="3">
        <f t="shared" si="3"/>
        <v>7</v>
      </c>
      <c r="Y13" s="3">
        <f>SUM(S7:X12)</f>
        <v>50</v>
      </c>
      <c r="AB13" s="8"/>
      <c r="AC13" s="8"/>
      <c r="AD13" s="8"/>
      <c r="AE13" s="8"/>
      <c r="AF13" s="8"/>
      <c r="AG13" s="8"/>
    </row>
    <row r="14" spans="1:33" x14ac:dyDescent="0.3">
      <c r="J14" s="8"/>
      <c r="K14" s="8"/>
      <c r="L14" s="8"/>
      <c r="M14" s="8"/>
      <c r="N14" s="8"/>
      <c r="O14" s="8"/>
      <c r="P14" s="8"/>
    </row>
    <row r="15" spans="1:33" x14ac:dyDescent="0.3">
      <c r="A15" s="2" t="s">
        <v>22</v>
      </c>
      <c r="B15"/>
      <c r="R15" s="2" t="s">
        <v>22</v>
      </c>
      <c r="S15"/>
    </row>
    <row r="17" spans="1:31" x14ac:dyDescent="0.3">
      <c r="A17" s="3"/>
      <c r="B17" s="3"/>
      <c r="C17" s="3" t="s">
        <v>1</v>
      </c>
      <c r="D17" s="3"/>
      <c r="E17" s="3"/>
      <c r="F17" s="3"/>
      <c r="G17" s="3"/>
      <c r="H17" s="3"/>
      <c r="R17" s="3"/>
      <c r="S17" s="3"/>
      <c r="T17" s="3" t="s">
        <v>1</v>
      </c>
      <c r="U17" s="3"/>
      <c r="V17" s="3"/>
      <c r="W17" s="3"/>
      <c r="X17" s="3"/>
      <c r="Y17" s="3"/>
    </row>
    <row r="18" spans="1:31" x14ac:dyDescent="0.3">
      <c r="A18" s="3" t="s">
        <v>2</v>
      </c>
      <c r="B18" s="3" t="s">
        <v>3</v>
      </c>
      <c r="C18" s="3" t="s">
        <v>4</v>
      </c>
      <c r="D18" s="3" t="s">
        <v>5</v>
      </c>
      <c r="E18" s="3" t="s">
        <v>29</v>
      </c>
      <c r="F18" s="3" t="s">
        <v>32</v>
      </c>
      <c r="G18" s="3" t="s">
        <v>33</v>
      </c>
      <c r="H18" s="3" t="s">
        <v>6</v>
      </c>
      <c r="J18" s="2" t="s">
        <v>9</v>
      </c>
      <c r="K18" s="2">
        <f>1-(N18/N19)</f>
        <v>0.48588709677419362</v>
      </c>
      <c r="M18" s="11" t="s">
        <v>19</v>
      </c>
      <c r="N18" s="2">
        <f>SUMPRODUCT(B7:G12,K7:P12)</f>
        <v>51</v>
      </c>
      <c r="O18" s="2"/>
      <c r="P18" s="2"/>
      <c r="R18" s="3" t="s">
        <v>2</v>
      </c>
      <c r="S18" s="3" t="s">
        <v>3</v>
      </c>
      <c r="T18" s="3" t="s">
        <v>4</v>
      </c>
      <c r="U18" s="3" t="s">
        <v>5</v>
      </c>
      <c r="V18" s="3" t="s">
        <v>29</v>
      </c>
      <c r="W18" s="3" t="s">
        <v>32</v>
      </c>
      <c r="X18" s="3" t="s">
        <v>33</v>
      </c>
      <c r="Y18" s="3" t="s">
        <v>6</v>
      </c>
      <c r="AA18" s="2" t="s">
        <v>9</v>
      </c>
      <c r="AB18" s="2">
        <f>1-(AE18/AE19)</f>
        <v>0.37952430196483977</v>
      </c>
      <c r="AD18" s="11" t="s">
        <v>19</v>
      </c>
      <c r="AE18" s="2">
        <f>SUMPRODUCT(S7:X12,AB7:AG12)</f>
        <v>24</v>
      </c>
    </row>
    <row r="19" spans="1:31" x14ac:dyDescent="0.3">
      <c r="A19" s="3" t="s">
        <v>3</v>
      </c>
      <c r="B19" s="7">
        <f>B$13*$H7/$H$13</f>
        <v>7.6</v>
      </c>
      <c r="C19" s="5">
        <f>C$13*$H7/$H$13</f>
        <v>2.4</v>
      </c>
      <c r="D19" s="5">
        <f>D$13*$H7/$H$13</f>
        <v>2.8</v>
      </c>
      <c r="E19" s="5">
        <f>E$13*$H7/$H$13</f>
        <v>3.2</v>
      </c>
      <c r="F19" s="5">
        <f>F$13*$H7/$H$13</f>
        <v>1.2</v>
      </c>
      <c r="G19" s="5">
        <f>G$13*$H7/$H$13</f>
        <v>2.8</v>
      </c>
      <c r="H19" s="3">
        <f>SUM(B19:G19)</f>
        <v>20</v>
      </c>
      <c r="M19" s="11" t="s">
        <v>20</v>
      </c>
      <c r="N19" s="2">
        <f>SUMPRODUCT(B19:G24,K7:P12)</f>
        <v>99.2</v>
      </c>
      <c r="O19" s="2"/>
      <c r="P19" s="2"/>
      <c r="R19" s="3" t="s">
        <v>3</v>
      </c>
      <c r="S19" s="7">
        <f>S$13*$H7/$H$13</f>
        <v>7.6</v>
      </c>
      <c r="T19" s="5">
        <f t="shared" ref="T19:X24" si="4">T$13*$H7/$H$13</f>
        <v>2.4</v>
      </c>
      <c r="U19" s="5">
        <f t="shared" si="4"/>
        <v>2.8</v>
      </c>
      <c r="V19" s="5">
        <f t="shared" si="4"/>
        <v>3.2</v>
      </c>
      <c r="W19" s="5">
        <f t="shared" si="4"/>
        <v>1.2</v>
      </c>
      <c r="X19" s="5">
        <f t="shared" si="4"/>
        <v>2.8</v>
      </c>
      <c r="Y19" s="3">
        <f>SUM(S19:X19)</f>
        <v>20</v>
      </c>
      <c r="AD19" s="11" t="s">
        <v>20</v>
      </c>
      <c r="AE19" s="2">
        <f>SUMPRODUCT(S19:X24,AB7:AG12)</f>
        <v>38.680000000000007</v>
      </c>
    </row>
    <row r="20" spans="1:31" x14ac:dyDescent="0.3">
      <c r="A20" s="3" t="s">
        <v>4</v>
      </c>
      <c r="B20" s="5">
        <f>B$13*$H8/$H$13</f>
        <v>3.42</v>
      </c>
      <c r="C20" s="7">
        <f>C$13*$H8/$H$13</f>
        <v>1.08</v>
      </c>
      <c r="D20" s="5">
        <f>D$13*$H8/$H$13</f>
        <v>1.26</v>
      </c>
      <c r="E20" s="5">
        <f>E$13*$H8/$H$13</f>
        <v>1.44</v>
      </c>
      <c r="F20" s="5">
        <f>F$13*$H8/$H$13</f>
        <v>0.54</v>
      </c>
      <c r="G20" s="5">
        <f t="shared" ref="G20:G24" si="5">G$13*$H8/$H$13</f>
        <v>1.26</v>
      </c>
      <c r="H20" s="3">
        <f t="shared" ref="H20:H24" si="6">SUM(B20:G20)</f>
        <v>9</v>
      </c>
      <c r="J20"/>
      <c r="R20" s="3" t="s">
        <v>4</v>
      </c>
      <c r="S20" s="5">
        <f>S$13*$H8/$H$13</f>
        <v>3.42</v>
      </c>
      <c r="T20" s="7">
        <f>T$13*$H8/$H$13</f>
        <v>1.08</v>
      </c>
      <c r="U20" s="5">
        <f>U$13*$H8/$H$13</f>
        <v>1.26</v>
      </c>
      <c r="V20" s="5">
        <f>V$13*$H8/$H$13</f>
        <v>1.44</v>
      </c>
      <c r="W20" s="5">
        <f>W$13*$H8/$H$13</f>
        <v>0.54</v>
      </c>
      <c r="X20" s="5">
        <f t="shared" si="4"/>
        <v>1.26</v>
      </c>
      <c r="Y20" s="3">
        <f t="shared" ref="Y20:Y24" si="7">SUM(S20:X20)</f>
        <v>9</v>
      </c>
    </row>
    <row r="21" spans="1:31" x14ac:dyDescent="0.3">
      <c r="A21" s="3" t="s">
        <v>5</v>
      </c>
      <c r="B21" s="5">
        <f>B$13*$H9/$H$13</f>
        <v>1.9</v>
      </c>
      <c r="C21" s="5">
        <f>C$13*$H9/$H$13</f>
        <v>0.6</v>
      </c>
      <c r="D21" s="7">
        <f>D$13*$H9/$H$13</f>
        <v>0.7</v>
      </c>
      <c r="E21" s="5">
        <f>E$13*$H9/$H$13</f>
        <v>0.8</v>
      </c>
      <c r="F21" s="5">
        <f>F$13*$H9/$H$13</f>
        <v>0.3</v>
      </c>
      <c r="G21" s="5">
        <f t="shared" si="5"/>
        <v>0.7</v>
      </c>
      <c r="H21" s="3">
        <f t="shared" si="6"/>
        <v>5</v>
      </c>
      <c r="M21" s="11" t="s">
        <v>23</v>
      </c>
      <c r="N21" s="1">
        <f>1-(N18/N19)</f>
        <v>0.48588709677419362</v>
      </c>
      <c r="R21" s="3" t="s">
        <v>5</v>
      </c>
      <c r="S21" s="5">
        <f>S$13*$H9/$H$13</f>
        <v>1.9</v>
      </c>
      <c r="T21" s="5">
        <f>T$13*$H9/$H$13</f>
        <v>0.6</v>
      </c>
      <c r="U21" s="7">
        <f>U$13*$H9/$H$13</f>
        <v>0.7</v>
      </c>
      <c r="V21" s="5">
        <f>V$13*$H9/$H$13</f>
        <v>0.8</v>
      </c>
      <c r="W21" s="5">
        <f>W$13*$H9/$H$13</f>
        <v>0.3</v>
      </c>
      <c r="X21" s="5">
        <f t="shared" si="4"/>
        <v>0.7</v>
      </c>
      <c r="Y21" s="3">
        <f t="shared" si="7"/>
        <v>5</v>
      </c>
      <c r="AD21" s="11" t="s">
        <v>23</v>
      </c>
      <c r="AE21" s="1">
        <f>1-(AE18/AE19)</f>
        <v>0.37952430196483977</v>
      </c>
    </row>
    <row r="22" spans="1:31" x14ac:dyDescent="0.3">
      <c r="A22" s="3" t="s">
        <v>29</v>
      </c>
      <c r="B22" s="5">
        <f>B$13*$H10/$H$13</f>
        <v>1.9</v>
      </c>
      <c r="C22" s="5">
        <f>C$13*$H10/$H$13</f>
        <v>0.6</v>
      </c>
      <c r="D22" s="5">
        <f>D$13*$H10/$H$13</f>
        <v>0.7</v>
      </c>
      <c r="E22" s="7">
        <f>E$13*$H10/$H$13</f>
        <v>0.8</v>
      </c>
      <c r="F22" s="5">
        <f>F$13*$H10/$H$13</f>
        <v>0.3</v>
      </c>
      <c r="G22" s="5">
        <f t="shared" si="5"/>
        <v>0.7</v>
      </c>
      <c r="H22" s="3">
        <f t="shared" si="6"/>
        <v>5</v>
      </c>
      <c r="M22" s="11"/>
      <c r="R22" s="3" t="s">
        <v>29</v>
      </c>
      <c r="S22" s="5">
        <f>S$13*$H10/$H$13</f>
        <v>1.9</v>
      </c>
      <c r="T22" s="5">
        <f>T$13*$H10/$H$13</f>
        <v>0.6</v>
      </c>
      <c r="U22" s="5">
        <f>U$13*$H10/$H$13</f>
        <v>0.7</v>
      </c>
      <c r="V22" s="7">
        <f>V$13*$H10/$H$13</f>
        <v>0.8</v>
      </c>
      <c r="W22" s="5">
        <f>W$13*$H10/$H$13</f>
        <v>0.3</v>
      </c>
      <c r="X22" s="5">
        <f t="shared" si="4"/>
        <v>0.7</v>
      </c>
      <c r="Y22" s="3">
        <f t="shared" si="7"/>
        <v>5</v>
      </c>
      <c r="AD22" s="11"/>
    </row>
    <row r="23" spans="1:31" x14ac:dyDescent="0.3">
      <c r="A23" s="3" t="s">
        <v>32</v>
      </c>
      <c r="B23" s="5">
        <f>B$13*$H11/$H$13</f>
        <v>1.9</v>
      </c>
      <c r="C23" s="5">
        <f>C$13*$H11/$H$13</f>
        <v>0.6</v>
      </c>
      <c r="D23" s="5">
        <f>D$13*$H11/$H$13</f>
        <v>0.7</v>
      </c>
      <c r="E23" s="5">
        <f>E$13*$H11/$H$13</f>
        <v>0.8</v>
      </c>
      <c r="F23" s="7">
        <f>F$13*$H11/$H$13</f>
        <v>0.3</v>
      </c>
      <c r="G23" s="5">
        <f t="shared" si="5"/>
        <v>0.7</v>
      </c>
      <c r="H23" s="3">
        <f t="shared" si="6"/>
        <v>5</v>
      </c>
      <c r="M23" s="11"/>
      <c r="R23" s="3" t="s">
        <v>32</v>
      </c>
      <c r="S23" s="5">
        <f>S$13*$H11/$H$13</f>
        <v>1.9</v>
      </c>
      <c r="T23" s="5">
        <f>T$13*$H11/$H$13</f>
        <v>0.6</v>
      </c>
      <c r="U23" s="5">
        <f>U$13*$H11/$H$13</f>
        <v>0.7</v>
      </c>
      <c r="V23" s="5">
        <f>V$13*$H11/$H$13</f>
        <v>0.8</v>
      </c>
      <c r="W23" s="7">
        <f>W$13*$H11/$H$13</f>
        <v>0.3</v>
      </c>
      <c r="X23" s="5">
        <f t="shared" si="4"/>
        <v>0.7</v>
      </c>
      <c r="Y23" s="3">
        <f t="shared" si="7"/>
        <v>5</v>
      </c>
      <c r="AD23" s="11"/>
    </row>
    <row r="24" spans="1:31" x14ac:dyDescent="0.3">
      <c r="A24" s="3" t="s">
        <v>33</v>
      </c>
      <c r="B24" s="5">
        <f>B$13*$H12/$H$13</f>
        <v>2.2799999999999998</v>
      </c>
      <c r="C24" s="5">
        <f t="shared" ref="C24:F24" si="8">C$13*$H12/$H$13</f>
        <v>0.72</v>
      </c>
      <c r="D24" s="5">
        <f t="shared" si="8"/>
        <v>0.84</v>
      </c>
      <c r="E24" s="5">
        <f t="shared" si="8"/>
        <v>0.96</v>
      </c>
      <c r="F24" s="5">
        <f t="shared" si="8"/>
        <v>0.36</v>
      </c>
      <c r="G24" s="7">
        <f t="shared" si="5"/>
        <v>0.84</v>
      </c>
      <c r="H24" s="3">
        <f t="shared" si="6"/>
        <v>6</v>
      </c>
      <c r="M24" s="11"/>
      <c r="R24" s="3" t="s">
        <v>33</v>
      </c>
      <c r="S24" s="5">
        <f>S$13*$H12/$H$13</f>
        <v>2.2799999999999998</v>
      </c>
      <c r="T24" s="5">
        <f t="shared" ref="T24:W24" si="9">T$13*$H12/$H$13</f>
        <v>0.72</v>
      </c>
      <c r="U24" s="5">
        <f t="shared" si="9"/>
        <v>0.84</v>
      </c>
      <c r="V24" s="5">
        <f t="shared" si="9"/>
        <v>0.96</v>
      </c>
      <c r="W24" s="5">
        <f t="shared" si="9"/>
        <v>0.36</v>
      </c>
      <c r="X24" s="7">
        <f t="shared" si="4"/>
        <v>0.84</v>
      </c>
      <c r="Y24" s="3">
        <f t="shared" si="7"/>
        <v>6</v>
      </c>
      <c r="AD24" s="11"/>
    </row>
    <row r="25" spans="1:31" x14ac:dyDescent="0.3">
      <c r="A25" s="3" t="s">
        <v>6</v>
      </c>
      <c r="B25" s="3">
        <f>SUM(B19:B24)</f>
        <v>19</v>
      </c>
      <c r="C25" s="3">
        <f t="shared" ref="C25:G25" si="10">SUM(C19:C24)</f>
        <v>5.9999999999999991</v>
      </c>
      <c r="D25" s="3">
        <f t="shared" si="10"/>
        <v>7</v>
      </c>
      <c r="E25" s="3">
        <f t="shared" si="10"/>
        <v>8</v>
      </c>
      <c r="F25" s="3">
        <f t="shared" si="10"/>
        <v>2.9999999999999996</v>
      </c>
      <c r="G25" s="3">
        <f t="shared" si="10"/>
        <v>7</v>
      </c>
      <c r="H25" s="3">
        <f>SUM(B19:G24)</f>
        <v>50.000000000000007</v>
      </c>
      <c r="J25"/>
      <c r="R25" s="3" t="s">
        <v>6</v>
      </c>
      <c r="S25" s="3">
        <f>SUM(S19:S24)</f>
        <v>19</v>
      </c>
      <c r="T25" s="3">
        <f t="shared" ref="T25:X25" si="11">SUM(T19:T24)</f>
        <v>5.9999999999999991</v>
      </c>
      <c r="U25" s="3">
        <f t="shared" si="11"/>
        <v>7</v>
      </c>
      <c r="V25" s="3">
        <f t="shared" si="11"/>
        <v>8</v>
      </c>
      <c r="W25" s="3">
        <f t="shared" si="11"/>
        <v>2.9999999999999996</v>
      </c>
      <c r="X25" s="3">
        <f t="shared" si="11"/>
        <v>7</v>
      </c>
      <c r="Y25" s="3">
        <f>SUM(S19:X24)</f>
        <v>50.000000000000007</v>
      </c>
    </row>
    <row r="26" spans="1:31" x14ac:dyDescent="0.3">
      <c r="L26"/>
    </row>
    <row r="29" spans="1:31" x14ac:dyDescent="0.3">
      <c r="R29"/>
    </row>
    <row r="30" spans="1:31" x14ac:dyDescent="0.3">
      <c r="R30"/>
    </row>
    <row r="33" spans="1:32" x14ac:dyDescent="0.3">
      <c r="A33" s="2" t="s">
        <v>21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3">
      <c r="J34" s="6" t="s">
        <v>17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20"/>
      <c r="AB34" s="9"/>
      <c r="AC34" s="9"/>
      <c r="AD34" s="9"/>
      <c r="AE34" s="9"/>
      <c r="AF34" s="9"/>
    </row>
    <row r="35" spans="1:32" x14ac:dyDescent="0.3">
      <c r="A35" s="3"/>
      <c r="B35" s="3"/>
      <c r="C35" s="3" t="s">
        <v>1</v>
      </c>
      <c r="D35" s="3"/>
      <c r="E35" s="3"/>
      <c r="F35" s="3"/>
      <c r="G35" s="3"/>
      <c r="H35" s="3"/>
      <c r="J35" s="3"/>
      <c r="K35" s="3"/>
      <c r="L35" s="3" t="s">
        <v>14</v>
      </c>
      <c r="M35" s="23"/>
      <c r="N35" s="3"/>
      <c r="O35" s="23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3">
      <c r="A36" s="3" t="s">
        <v>2</v>
      </c>
      <c r="B36" s="3" t="s">
        <v>3</v>
      </c>
      <c r="C36" s="3" t="s">
        <v>4</v>
      </c>
      <c r="D36" s="3" t="s">
        <v>5</v>
      </c>
      <c r="E36" s="3" t="s">
        <v>29</v>
      </c>
      <c r="F36" s="3" t="s">
        <v>32</v>
      </c>
      <c r="G36" s="3" t="s">
        <v>33</v>
      </c>
      <c r="H36" s="3" t="s">
        <v>6</v>
      </c>
      <c r="J36" s="3"/>
      <c r="K36" s="3" t="s">
        <v>3</v>
      </c>
      <c r="L36" s="3" t="s">
        <v>4</v>
      </c>
      <c r="M36" s="23" t="s">
        <v>5</v>
      </c>
      <c r="N36" s="3" t="s">
        <v>29</v>
      </c>
      <c r="O36" s="23" t="s">
        <v>32</v>
      </c>
      <c r="P36" s="3" t="s">
        <v>33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3">
      <c r="A37" s="3" t="s">
        <v>3</v>
      </c>
      <c r="B37" s="7">
        <f>B7</f>
        <v>15</v>
      </c>
      <c r="C37" s="5">
        <f>C7</f>
        <v>2</v>
      </c>
      <c r="D37" s="5">
        <f>D7</f>
        <v>1</v>
      </c>
      <c r="E37" s="5">
        <f>E7</f>
        <v>1</v>
      </c>
      <c r="F37" s="5">
        <f>F7</f>
        <v>0</v>
      </c>
      <c r="G37" s="5">
        <f>G7</f>
        <v>1</v>
      </c>
      <c r="H37" s="3">
        <f>SUM(B37:G37)</f>
        <v>20</v>
      </c>
      <c r="J37" s="3" t="s">
        <v>3</v>
      </c>
      <c r="K37" s="5">
        <v>0</v>
      </c>
      <c r="L37" s="5">
        <v>0.04</v>
      </c>
      <c r="M37" s="5">
        <v>0.16</v>
      </c>
      <c r="N37" s="5">
        <v>0.36</v>
      </c>
      <c r="O37" s="24">
        <v>0.64</v>
      </c>
      <c r="P37" s="5">
        <v>1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3">
      <c r="A38" s="3" t="s">
        <v>4</v>
      </c>
      <c r="B38" s="5">
        <f>B8</f>
        <v>2</v>
      </c>
      <c r="C38" s="7">
        <f>C8</f>
        <v>2</v>
      </c>
      <c r="D38" s="5">
        <f>D8</f>
        <v>1</v>
      </c>
      <c r="E38" s="5">
        <f>E8</f>
        <v>2</v>
      </c>
      <c r="F38" s="5">
        <f>F8</f>
        <v>1</v>
      </c>
      <c r="G38" s="5">
        <f>G8</f>
        <v>1</v>
      </c>
      <c r="H38" s="3">
        <f t="shared" ref="H38:H42" si="12">SUM(B38:G38)</f>
        <v>9</v>
      </c>
      <c r="J38" s="3" t="s">
        <v>4</v>
      </c>
      <c r="K38" s="5">
        <v>0.04</v>
      </c>
      <c r="L38" s="5">
        <v>0</v>
      </c>
      <c r="M38" s="5">
        <v>0.04</v>
      </c>
      <c r="N38" s="5">
        <v>0.16</v>
      </c>
      <c r="O38" s="24">
        <v>0.36</v>
      </c>
      <c r="P38" s="5">
        <v>0.64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3">
      <c r="A39" s="3" t="s">
        <v>5</v>
      </c>
      <c r="B39" s="5">
        <f>B9</f>
        <v>1</v>
      </c>
      <c r="C39" s="5">
        <f>C9</f>
        <v>0</v>
      </c>
      <c r="D39" s="7">
        <f>D9</f>
        <v>3</v>
      </c>
      <c r="E39" s="5">
        <f>E9</f>
        <v>0</v>
      </c>
      <c r="F39" s="5">
        <f>F9</f>
        <v>1</v>
      </c>
      <c r="G39" s="5">
        <f>G9</f>
        <v>0</v>
      </c>
      <c r="H39" s="3">
        <f t="shared" si="12"/>
        <v>5</v>
      </c>
      <c r="J39" s="3" t="s">
        <v>5</v>
      </c>
      <c r="K39" s="5">
        <v>0.16</v>
      </c>
      <c r="L39" s="5">
        <v>0.04</v>
      </c>
      <c r="M39" s="5">
        <v>0</v>
      </c>
      <c r="N39" s="5">
        <v>0.04</v>
      </c>
      <c r="O39" s="24">
        <v>0.16</v>
      </c>
      <c r="P39" s="5">
        <v>0.36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3">
      <c r="A40" s="3" t="s">
        <v>29</v>
      </c>
      <c r="B40" s="5">
        <f>B10</f>
        <v>1</v>
      </c>
      <c r="C40" s="5">
        <f>C10</f>
        <v>1</v>
      </c>
      <c r="D40" s="5">
        <f>D10</f>
        <v>0</v>
      </c>
      <c r="E40" s="7">
        <f>E10</f>
        <v>2</v>
      </c>
      <c r="F40" s="5">
        <f>F10</f>
        <v>0</v>
      </c>
      <c r="G40" s="5">
        <f>G10</f>
        <v>1</v>
      </c>
      <c r="H40" s="3">
        <f t="shared" si="12"/>
        <v>5</v>
      </c>
      <c r="J40" s="25" t="s">
        <v>29</v>
      </c>
      <c r="K40" s="26">
        <v>0.36</v>
      </c>
      <c r="L40" s="26">
        <v>0.16</v>
      </c>
      <c r="M40" s="26">
        <v>0.04</v>
      </c>
      <c r="N40" s="26">
        <v>0</v>
      </c>
      <c r="O40" s="24">
        <v>0.04</v>
      </c>
      <c r="P40" s="5">
        <v>0.16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3">
      <c r="A41" s="3" t="s">
        <v>32</v>
      </c>
      <c r="B41" s="5">
        <f>B11</f>
        <v>0</v>
      </c>
      <c r="C41" s="5">
        <f>C11</f>
        <v>0</v>
      </c>
      <c r="D41" s="5">
        <f>D11</f>
        <v>2</v>
      </c>
      <c r="E41" s="5">
        <f>E11</f>
        <v>1</v>
      </c>
      <c r="F41" s="7">
        <f>F11</f>
        <v>1</v>
      </c>
      <c r="G41" s="5">
        <f>G11</f>
        <v>1</v>
      </c>
      <c r="H41" s="3">
        <f t="shared" si="12"/>
        <v>5</v>
      </c>
      <c r="J41" s="3" t="s">
        <v>32</v>
      </c>
      <c r="K41" s="5">
        <v>0.64</v>
      </c>
      <c r="L41" s="5">
        <v>0.36</v>
      </c>
      <c r="M41" s="5">
        <v>0.16</v>
      </c>
      <c r="N41" s="5">
        <v>0.04</v>
      </c>
      <c r="O41" s="24">
        <v>0</v>
      </c>
      <c r="P41" s="5">
        <v>0.04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3">
      <c r="A42" s="3" t="s">
        <v>33</v>
      </c>
      <c r="B42" s="5">
        <f>B12</f>
        <v>0</v>
      </c>
      <c r="C42" s="5">
        <f>C12</f>
        <v>1</v>
      </c>
      <c r="D42" s="5">
        <f>D12</f>
        <v>0</v>
      </c>
      <c r="E42" s="5">
        <f>E12</f>
        <v>2</v>
      </c>
      <c r="F42" s="5">
        <f>F12</f>
        <v>0</v>
      </c>
      <c r="G42" s="7">
        <f>G12</f>
        <v>3</v>
      </c>
      <c r="H42" s="3">
        <f t="shared" si="12"/>
        <v>6</v>
      </c>
      <c r="J42" s="3" t="s">
        <v>33</v>
      </c>
      <c r="K42" s="5">
        <v>1</v>
      </c>
      <c r="L42" s="5">
        <v>0.64</v>
      </c>
      <c r="M42" s="5">
        <v>0.36</v>
      </c>
      <c r="N42" s="5">
        <v>0.16</v>
      </c>
      <c r="O42" s="5">
        <v>0.04</v>
      </c>
      <c r="P42" s="5">
        <v>0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3">
      <c r="A43" s="3" t="s">
        <v>6</v>
      </c>
      <c r="B43" s="3">
        <f>SUM(B37:B42)</f>
        <v>19</v>
      </c>
      <c r="C43" s="3">
        <f t="shared" ref="C43:G43" si="13">SUM(C37:C42)</f>
        <v>6</v>
      </c>
      <c r="D43" s="3">
        <f t="shared" si="13"/>
        <v>7</v>
      </c>
      <c r="E43" s="3">
        <f t="shared" si="13"/>
        <v>8</v>
      </c>
      <c r="F43" s="3">
        <f t="shared" si="13"/>
        <v>3</v>
      </c>
      <c r="G43" s="3">
        <f t="shared" si="13"/>
        <v>7</v>
      </c>
      <c r="H43" s="3">
        <f>SUM(B37:G42)</f>
        <v>50</v>
      </c>
      <c r="J43" s="8"/>
      <c r="K43" s="8"/>
      <c r="L43" s="8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3"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3">
      <c r="A45" s="2" t="s">
        <v>22</v>
      </c>
      <c r="B45"/>
      <c r="Q45" s="9"/>
      <c r="R45" s="9"/>
      <c r="S45" s="21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x14ac:dyDescent="0.3"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x14ac:dyDescent="0.3">
      <c r="A47" s="3"/>
      <c r="B47" s="3"/>
      <c r="C47" s="3" t="s">
        <v>1</v>
      </c>
      <c r="D47" s="3"/>
      <c r="E47" s="3"/>
      <c r="F47" s="3"/>
      <c r="G47" s="3"/>
      <c r="H47" s="3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x14ac:dyDescent="0.3">
      <c r="A48" s="3" t="s">
        <v>2</v>
      </c>
      <c r="B48" s="3" t="s">
        <v>3</v>
      </c>
      <c r="C48" s="3" t="s">
        <v>4</v>
      </c>
      <c r="D48" s="3" t="s">
        <v>5</v>
      </c>
      <c r="E48" s="3" t="s">
        <v>29</v>
      </c>
      <c r="F48" s="3" t="s">
        <v>32</v>
      </c>
      <c r="G48" s="3" t="s">
        <v>33</v>
      </c>
      <c r="H48" s="3" t="s">
        <v>6</v>
      </c>
      <c r="J48" s="2" t="s">
        <v>9</v>
      </c>
      <c r="K48" s="2">
        <f>1-(M48/M49)</f>
        <v>0.58745874587458746</v>
      </c>
      <c r="L48" s="11" t="s">
        <v>30</v>
      </c>
      <c r="M48" s="2">
        <f>SUMPRODUCT(B37:G42,K37:P42)</f>
        <v>5.4</v>
      </c>
      <c r="N48" s="2"/>
      <c r="O48" s="2"/>
      <c r="P48" s="2"/>
      <c r="Q48" s="9"/>
      <c r="R48" s="9"/>
      <c r="S48" s="9"/>
      <c r="T48" s="9"/>
      <c r="U48" s="9"/>
      <c r="V48" s="9"/>
      <c r="W48" s="9"/>
      <c r="X48" s="9"/>
      <c r="Y48" s="9"/>
      <c r="Z48" s="9"/>
      <c r="AA48" s="22"/>
      <c r="AB48" s="22"/>
      <c r="AC48" s="9"/>
      <c r="AD48" s="22"/>
      <c r="AE48" s="9"/>
      <c r="AF48" s="9"/>
    </row>
    <row r="49" spans="1:32" x14ac:dyDescent="0.3">
      <c r="A49" s="3" t="s">
        <v>3</v>
      </c>
      <c r="B49" s="7">
        <f>B$13*$H37/$H$13</f>
        <v>7.6</v>
      </c>
      <c r="C49" s="5">
        <f>C$13*$H37/$H$13</f>
        <v>2.4</v>
      </c>
      <c r="D49" s="5">
        <f>D$13*$H37/$H$13</f>
        <v>2.8</v>
      </c>
      <c r="E49" s="5">
        <f>E$13*$H37/$H$13</f>
        <v>3.2</v>
      </c>
      <c r="F49" s="5">
        <f>F$13*$H37/$H$13</f>
        <v>1.2</v>
      </c>
      <c r="G49" s="5">
        <f>G$13*$H37/$H$13</f>
        <v>2.8</v>
      </c>
      <c r="H49" s="3">
        <f>SUM(B49:G49)</f>
        <v>20</v>
      </c>
      <c r="L49" s="11" t="s">
        <v>31</v>
      </c>
      <c r="M49" s="2">
        <f>SUMPRODUCT(B49:G54,K37:P42)</f>
        <v>13.089600000000001</v>
      </c>
      <c r="N49" s="2"/>
      <c r="O49" s="2"/>
      <c r="P49" s="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22"/>
      <c r="AE49" s="9"/>
      <c r="AF49" s="9"/>
    </row>
    <row r="50" spans="1:32" x14ac:dyDescent="0.3">
      <c r="A50" s="3" t="s">
        <v>4</v>
      </c>
      <c r="B50" s="5">
        <f>B$13*$H38/$H$13</f>
        <v>3.42</v>
      </c>
      <c r="C50" s="7">
        <f>C$13*$H38/$H$13</f>
        <v>1.08</v>
      </c>
      <c r="D50" s="5">
        <f>D$13*$H38/$H$13</f>
        <v>1.26</v>
      </c>
      <c r="E50" s="5">
        <f>E$13*$H38/$H$13</f>
        <v>1.44</v>
      </c>
      <c r="F50" s="5">
        <f>F$13*$H38/$H$13</f>
        <v>0.54</v>
      </c>
      <c r="G50" s="5">
        <f t="shared" ref="G50:G54" si="14">G$13*$H38/$H$13</f>
        <v>1.26</v>
      </c>
      <c r="H50" s="3">
        <f t="shared" ref="H50:H54" si="15">SUM(B50:G50)</f>
        <v>9</v>
      </c>
      <c r="J50"/>
      <c r="Q50" s="9"/>
      <c r="R50" s="9"/>
      <c r="S50" s="9"/>
      <c r="T50" s="9"/>
      <c r="U50" s="9"/>
      <c r="V50" s="9"/>
      <c r="W50" s="9"/>
      <c r="X50" s="9"/>
      <c r="Y50" s="9"/>
      <c r="Z50" s="9"/>
      <c r="AA50" s="21"/>
      <c r="AB50" s="9"/>
      <c r="AC50" s="9"/>
      <c r="AD50" s="9"/>
      <c r="AE50" s="9"/>
      <c r="AF50" s="9"/>
    </row>
    <row r="51" spans="1:32" x14ac:dyDescent="0.3">
      <c r="A51" s="3" t="s">
        <v>5</v>
      </c>
      <c r="B51" s="5">
        <f>B$13*$H39/$H$13</f>
        <v>1.9</v>
      </c>
      <c r="C51" s="5">
        <f>C$13*$H39/$H$13</f>
        <v>0.6</v>
      </c>
      <c r="D51" s="7">
        <f>D$13*$H39/$H$13</f>
        <v>0.7</v>
      </c>
      <c r="E51" s="5">
        <f>E$13*$H39/$H$13</f>
        <v>0.8</v>
      </c>
      <c r="F51" s="5">
        <f>F$13*$H39/$H$13</f>
        <v>0.3</v>
      </c>
      <c r="G51" s="5">
        <f t="shared" si="14"/>
        <v>0.7</v>
      </c>
      <c r="H51" s="3">
        <f t="shared" si="15"/>
        <v>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x14ac:dyDescent="0.3">
      <c r="A52" s="3" t="s">
        <v>29</v>
      </c>
      <c r="B52" s="5">
        <f>B$13*$H40/$H$13</f>
        <v>1.9</v>
      </c>
      <c r="C52" s="5">
        <f>C$13*$H40/$H$13</f>
        <v>0.6</v>
      </c>
      <c r="D52" s="5">
        <f>D$13*$H40/$H$13</f>
        <v>0.7</v>
      </c>
      <c r="E52" s="7">
        <f>E$13*$H40/$H$13</f>
        <v>0.8</v>
      </c>
      <c r="F52" s="5">
        <f>F$13*$H40/$H$13</f>
        <v>0.3</v>
      </c>
      <c r="G52" s="5">
        <f t="shared" si="14"/>
        <v>0.7</v>
      </c>
      <c r="H52" s="3">
        <f t="shared" si="15"/>
        <v>5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3">
      <c r="A53" s="3" t="s">
        <v>32</v>
      </c>
      <c r="B53" s="5">
        <f>B$13*$H41/$H$13</f>
        <v>1.9</v>
      </c>
      <c r="C53" s="5">
        <f>C$13*$H41/$H$13</f>
        <v>0.6</v>
      </c>
      <c r="D53" s="5">
        <f>D$13*$H41/$H$13</f>
        <v>0.7</v>
      </c>
      <c r="E53" s="5">
        <f>E$13*$H41/$H$13</f>
        <v>0.8</v>
      </c>
      <c r="F53" s="7">
        <f>F$13*$H41/$H$13</f>
        <v>0.3</v>
      </c>
      <c r="G53" s="5">
        <f t="shared" si="14"/>
        <v>0.7</v>
      </c>
      <c r="H53" s="3">
        <f t="shared" si="15"/>
        <v>5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x14ac:dyDescent="0.3">
      <c r="A54" s="3" t="s">
        <v>33</v>
      </c>
      <c r="B54" s="5">
        <f>B$13*$H42/$H$13</f>
        <v>2.2799999999999998</v>
      </c>
      <c r="C54" s="5">
        <f t="shared" ref="C54:F54" si="16">C$13*$H42/$H$13</f>
        <v>0.72</v>
      </c>
      <c r="D54" s="5">
        <f t="shared" si="16"/>
        <v>0.84</v>
      </c>
      <c r="E54" s="5">
        <f t="shared" si="16"/>
        <v>0.96</v>
      </c>
      <c r="F54" s="5">
        <f t="shared" si="16"/>
        <v>0.36</v>
      </c>
      <c r="G54" s="7">
        <f t="shared" si="14"/>
        <v>0.84</v>
      </c>
      <c r="H54" s="3">
        <f t="shared" si="15"/>
        <v>6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x14ac:dyDescent="0.3">
      <c r="A55" s="3" t="s">
        <v>6</v>
      </c>
      <c r="B55" s="3">
        <f>SUM(B49:B54)</f>
        <v>19</v>
      </c>
      <c r="C55" s="3">
        <f t="shared" ref="C55:G55" si="17">SUM(C49:C54)</f>
        <v>5.9999999999999991</v>
      </c>
      <c r="D55" s="3">
        <f t="shared" si="17"/>
        <v>7</v>
      </c>
      <c r="E55" s="3">
        <f t="shared" si="17"/>
        <v>8</v>
      </c>
      <c r="F55" s="3">
        <f t="shared" si="17"/>
        <v>2.9999999999999996</v>
      </c>
      <c r="G55" s="3">
        <f t="shared" si="17"/>
        <v>7</v>
      </c>
      <c r="H55" s="3">
        <f>SUM(B49:G54)</f>
        <v>50.000000000000007</v>
      </c>
      <c r="J55"/>
      <c r="Q55" s="9"/>
      <c r="R55" s="9"/>
      <c r="S55" s="9"/>
      <c r="T55" s="9"/>
      <c r="U55" s="9"/>
      <c r="V55" s="9"/>
      <c r="W55" s="9"/>
      <c r="X55" s="9"/>
      <c r="Y55" s="9"/>
      <c r="Z55" s="9"/>
      <c r="AA55" s="21"/>
      <c r="AB55" s="9"/>
      <c r="AC55" s="9"/>
      <c r="AD55" s="9"/>
      <c r="AE55" s="9"/>
      <c r="AF55" s="9"/>
    </row>
    <row r="56" spans="1:32" x14ac:dyDescent="0.3"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x14ac:dyDescent="0.3"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3FF5-8845-4015-A884-5FD64F72A03D}">
  <dimension ref="A2:AK61"/>
  <sheetViews>
    <sheetView zoomScale="70" zoomScaleNormal="70" workbookViewId="0">
      <selection activeCell="O31" sqref="O31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37" x14ac:dyDescent="0.3">
      <c r="A2" s="2"/>
    </row>
    <row r="3" spans="1:37" x14ac:dyDescent="0.3">
      <c r="A3" s="2" t="s">
        <v>21</v>
      </c>
      <c r="S3" s="2"/>
      <c r="T3" s="2" t="s">
        <v>21</v>
      </c>
    </row>
    <row r="4" spans="1:37" x14ac:dyDescent="0.3">
      <c r="K4" s="6" t="s">
        <v>16</v>
      </c>
      <c r="AD4" s="6" t="s">
        <v>18</v>
      </c>
    </row>
    <row r="5" spans="1:37" x14ac:dyDescent="0.3">
      <c r="A5" s="3"/>
      <c r="B5" s="3"/>
      <c r="C5" s="3" t="s">
        <v>1</v>
      </c>
      <c r="D5" s="3"/>
      <c r="E5" s="3"/>
      <c r="F5" s="3"/>
      <c r="G5" s="3"/>
      <c r="H5" s="3"/>
      <c r="I5" s="3"/>
      <c r="K5" s="3"/>
      <c r="L5" s="3"/>
      <c r="M5" s="3" t="s">
        <v>14</v>
      </c>
      <c r="N5" s="3"/>
      <c r="O5" s="23"/>
      <c r="P5" s="23"/>
      <c r="Q5" s="3"/>
      <c r="R5" s="3"/>
      <c r="T5" s="3"/>
      <c r="U5" s="3"/>
      <c r="V5" s="3" t="s">
        <v>1</v>
      </c>
      <c r="W5" s="3"/>
      <c r="X5" s="3"/>
      <c r="Y5" s="3"/>
      <c r="Z5" s="3"/>
      <c r="AA5" s="3"/>
      <c r="AB5" s="3"/>
      <c r="AD5" s="3"/>
      <c r="AE5" s="3"/>
      <c r="AF5" s="3" t="s">
        <v>14</v>
      </c>
      <c r="AG5" s="3"/>
      <c r="AH5" s="3"/>
      <c r="AI5" s="3"/>
      <c r="AJ5" s="3"/>
      <c r="AK5" s="3"/>
    </row>
    <row r="6" spans="1:37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33</v>
      </c>
      <c r="H6" s="3" t="s">
        <v>34</v>
      </c>
      <c r="I6" s="3" t="s">
        <v>6</v>
      </c>
      <c r="K6" s="3"/>
      <c r="L6" s="3" t="s">
        <v>3</v>
      </c>
      <c r="M6" s="3" t="s">
        <v>4</v>
      </c>
      <c r="N6" s="3" t="s">
        <v>5</v>
      </c>
      <c r="O6" s="23" t="s">
        <v>29</v>
      </c>
      <c r="P6" s="23" t="s">
        <v>32</v>
      </c>
      <c r="Q6" s="3" t="s">
        <v>33</v>
      </c>
      <c r="R6" s="3" t="s">
        <v>34</v>
      </c>
      <c r="T6" s="3" t="s">
        <v>2</v>
      </c>
      <c r="U6" s="3" t="s">
        <v>3</v>
      </c>
      <c r="V6" s="3" t="s">
        <v>4</v>
      </c>
      <c r="W6" s="3" t="s">
        <v>5</v>
      </c>
      <c r="X6" s="3" t="s">
        <v>29</v>
      </c>
      <c r="Y6" s="3" t="s">
        <v>32</v>
      </c>
      <c r="Z6" s="3" t="s">
        <v>33</v>
      </c>
      <c r="AA6" s="3" t="s">
        <v>34</v>
      </c>
      <c r="AB6" s="3" t="s">
        <v>6</v>
      </c>
      <c r="AD6" s="3"/>
      <c r="AE6" s="3" t="s">
        <v>3</v>
      </c>
      <c r="AF6" s="3" t="s">
        <v>4</v>
      </c>
      <c r="AG6" s="3" t="s">
        <v>5</v>
      </c>
      <c r="AH6" s="3" t="s">
        <v>29</v>
      </c>
      <c r="AI6" s="23" t="s">
        <v>32</v>
      </c>
      <c r="AJ6" s="3" t="s">
        <v>33</v>
      </c>
      <c r="AK6" s="3" t="s">
        <v>34</v>
      </c>
    </row>
    <row r="7" spans="1:37" x14ac:dyDescent="0.3">
      <c r="A7" s="3" t="s">
        <v>3</v>
      </c>
      <c r="B7" s="7">
        <v>5</v>
      </c>
      <c r="C7" s="5">
        <v>2</v>
      </c>
      <c r="D7" s="5">
        <v>1</v>
      </c>
      <c r="E7" s="5">
        <v>1</v>
      </c>
      <c r="F7" s="5">
        <v>0</v>
      </c>
      <c r="G7" s="5">
        <v>1</v>
      </c>
      <c r="H7" s="5">
        <v>0</v>
      </c>
      <c r="I7" s="3">
        <f>SUM(B7:H7)</f>
        <v>10</v>
      </c>
      <c r="K7" s="3" t="s">
        <v>3</v>
      </c>
      <c r="L7" s="5">
        <v>0</v>
      </c>
      <c r="M7" s="5">
        <v>1</v>
      </c>
      <c r="N7" s="5">
        <v>2</v>
      </c>
      <c r="O7" s="24">
        <v>3</v>
      </c>
      <c r="P7" s="24">
        <v>4</v>
      </c>
      <c r="Q7" s="5">
        <v>5</v>
      </c>
      <c r="R7" s="5">
        <v>6</v>
      </c>
      <c r="T7" s="3" t="s">
        <v>3</v>
      </c>
      <c r="U7" s="7">
        <f>B7</f>
        <v>5</v>
      </c>
      <c r="V7" s="5">
        <f>C7</f>
        <v>2</v>
      </c>
      <c r="W7" s="5">
        <f>D7</f>
        <v>1</v>
      </c>
      <c r="X7" s="5">
        <f>E7</f>
        <v>1</v>
      </c>
      <c r="Y7" s="5">
        <f>F7</f>
        <v>0</v>
      </c>
      <c r="Z7" s="5">
        <f>G7</f>
        <v>1</v>
      </c>
      <c r="AA7" s="5">
        <f>H7</f>
        <v>0</v>
      </c>
      <c r="AB7" s="3">
        <f>SUM(U7:AA7)</f>
        <v>10</v>
      </c>
      <c r="AD7" s="3" t="s">
        <v>3</v>
      </c>
      <c r="AE7" s="5">
        <v>0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</row>
    <row r="8" spans="1:37" x14ac:dyDescent="0.3">
      <c r="A8" s="3" t="s">
        <v>4</v>
      </c>
      <c r="B8" s="5">
        <v>2</v>
      </c>
      <c r="C8" s="7">
        <v>4</v>
      </c>
      <c r="D8" s="5">
        <v>1</v>
      </c>
      <c r="E8" s="5">
        <v>2</v>
      </c>
      <c r="F8" s="5">
        <v>1</v>
      </c>
      <c r="G8" s="5">
        <v>0</v>
      </c>
      <c r="H8" s="5">
        <v>1</v>
      </c>
      <c r="I8" s="3">
        <f t="shared" ref="I8:I13" si="0">SUM(B8:H8)</f>
        <v>11</v>
      </c>
      <c r="K8" s="3" t="s">
        <v>4</v>
      </c>
      <c r="L8" s="5">
        <v>1</v>
      </c>
      <c r="M8" s="5">
        <v>0</v>
      </c>
      <c r="N8" s="5">
        <v>1</v>
      </c>
      <c r="O8" s="24">
        <v>2</v>
      </c>
      <c r="P8" s="24">
        <v>3</v>
      </c>
      <c r="Q8" s="5">
        <v>4</v>
      </c>
      <c r="R8" s="5">
        <v>5</v>
      </c>
      <c r="T8" s="3" t="s">
        <v>4</v>
      </c>
      <c r="U8" s="5">
        <f>B8</f>
        <v>2</v>
      </c>
      <c r="V8" s="7">
        <f>C8</f>
        <v>4</v>
      </c>
      <c r="W8" s="5">
        <f>D8</f>
        <v>1</v>
      </c>
      <c r="X8" s="5">
        <f>E8</f>
        <v>2</v>
      </c>
      <c r="Y8" s="5">
        <f>F8</f>
        <v>1</v>
      </c>
      <c r="Z8" s="5">
        <f t="shared" ref="Z8:Z13" si="1">G8</f>
        <v>0</v>
      </c>
      <c r="AA8" s="5">
        <f t="shared" ref="AA8:AA13" si="2">H8</f>
        <v>1</v>
      </c>
      <c r="AB8" s="3">
        <f t="shared" ref="AB8:AB13" si="3">SUM(U8:AA8)</f>
        <v>11</v>
      </c>
      <c r="AD8" s="3" t="s">
        <v>4</v>
      </c>
      <c r="AE8" s="5">
        <v>1</v>
      </c>
      <c r="AF8" s="5">
        <v>0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</row>
    <row r="9" spans="1:37" x14ac:dyDescent="0.3">
      <c r="A9" s="3" t="s">
        <v>5</v>
      </c>
      <c r="B9" s="5">
        <v>1</v>
      </c>
      <c r="C9" s="5">
        <v>0</v>
      </c>
      <c r="D9" s="7">
        <v>3</v>
      </c>
      <c r="E9" s="5">
        <v>0</v>
      </c>
      <c r="F9" s="5">
        <v>1</v>
      </c>
      <c r="G9" s="5">
        <v>0</v>
      </c>
      <c r="H9" s="5">
        <v>0</v>
      </c>
      <c r="I9" s="3">
        <f t="shared" si="0"/>
        <v>5</v>
      </c>
      <c r="K9" s="3" t="s">
        <v>5</v>
      </c>
      <c r="L9" s="5">
        <v>2</v>
      </c>
      <c r="M9" s="5">
        <v>1</v>
      </c>
      <c r="N9" s="5">
        <v>0</v>
      </c>
      <c r="O9" s="24">
        <v>1</v>
      </c>
      <c r="P9" s="24">
        <v>2</v>
      </c>
      <c r="Q9" s="5">
        <v>3</v>
      </c>
      <c r="R9" s="5">
        <v>4</v>
      </c>
      <c r="T9" s="3" t="s">
        <v>5</v>
      </c>
      <c r="U9" s="5">
        <f>B9</f>
        <v>1</v>
      </c>
      <c r="V9" s="5">
        <f>C9</f>
        <v>0</v>
      </c>
      <c r="W9" s="7">
        <f>D9</f>
        <v>3</v>
      </c>
      <c r="X9" s="5">
        <f>E9</f>
        <v>0</v>
      </c>
      <c r="Y9" s="5">
        <f>F9</f>
        <v>1</v>
      </c>
      <c r="Z9" s="5">
        <f t="shared" si="1"/>
        <v>0</v>
      </c>
      <c r="AA9" s="5">
        <f t="shared" si="2"/>
        <v>0</v>
      </c>
      <c r="AB9" s="3">
        <f t="shared" si="3"/>
        <v>5</v>
      </c>
      <c r="AD9" s="3" t="s">
        <v>5</v>
      </c>
      <c r="AE9" s="5">
        <v>1</v>
      </c>
      <c r="AF9" s="5">
        <v>1</v>
      </c>
      <c r="AG9" s="5">
        <v>0</v>
      </c>
      <c r="AH9" s="5">
        <v>1</v>
      </c>
      <c r="AI9" s="5">
        <v>1</v>
      </c>
      <c r="AJ9" s="5">
        <v>1</v>
      </c>
      <c r="AK9" s="5">
        <v>1</v>
      </c>
    </row>
    <row r="10" spans="1:37" x14ac:dyDescent="0.3">
      <c r="A10" s="3" t="s">
        <v>29</v>
      </c>
      <c r="B10" s="5">
        <v>1</v>
      </c>
      <c r="C10" s="5">
        <v>1</v>
      </c>
      <c r="D10" s="5">
        <v>0</v>
      </c>
      <c r="E10" s="7">
        <v>3</v>
      </c>
      <c r="F10" s="5">
        <v>0</v>
      </c>
      <c r="G10" s="5">
        <v>1</v>
      </c>
      <c r="H10" s="5">
        <v>1</v>
      </c>
      <c r="I10" s="3">
        <f t="shared" si="0"/>
        <v>7</v>
      </c>
      <c r="K10" s="3" t="s">
        <v>29</v>
      </c>
      <c r="L10" s="5">
        <v>3</v>
      </c>
      <c r="M10" s="5">
        <v>2</v>
      </c>
      <c r="N10" s="5">
        <v>1</v>
      </c>
      <c r="O10" s="24">
        <v>0</v>
      </c>
      <c r="P10" s="24">
        <v>1</v>
      </c>
      <c r="Q10" s="5">
        <v>2</v>
      </c>
      <c r="R10" s="5">
        <v>3</v>
      </c>
      <c r="T10" s="3" t="s">
        <v>29</v>
      </c>
      <c r="U10" s="5">
        <f>B10</f>
        <v>1</v>
      </c>
      <c r="V10" s="5">
        <f>C10</f>
        <v>1</v>
      </c>
      <c r="W10" s="5">
        <f>D10</f>
        <v>0</v>
      </c>
      <c r="X10" s="7">
        <f>E10</f>
        <v>3</v>
      </c>
      <c r="Y10" s="5">
        <f>F10</f>
        <v>0</v>
      </c>
      <c r="Z10" s="5">
        <f t="shared" si="1"/>
        <v>1</v>
      </c>
      <c r="AA10" s="5">
        <f t="shared" si="2"/>
        <v>1</v>
      </c>
      <c r="AB10" s="3">
        <f t="shared" si="3"/>
        <v>7</v>
      </c>
      <c r="AD10" s="3" t="s">
        <v>29</v>
      </c>
      <c r="AE10" s="5">
        <v>1</v>
      </c>
      <c r="AF10" s="5">
        <v>1</v>
      </c>
      <c r="AG10" s="5">
        <v>1</v>
      </c>
      <c r="AH10" s="5">
        <v>0</v>
      </c>
      <c r="AI10" s="5">
        <v>1</v>
      </c>
      <c r="AJ10" s="5">
        <v>1</v>
      </c>
      <c r="AK10" s="5">
        <v>1</v>
      </c>
    </row>
    <row r="11" spans="1:37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2</v>
      </c>
      <c r="G11" s="5">
        <v>1</v>
      </c>
      <c r="H11" s="5">
        <v>0</v>
      </c>
      <c r="I11" s="3">
        <f t="shared" si="0"/>
        <v>6</v>
      </c>
      <c r="K11" s="3" t="s">
        <v>32</v>
      </c>
      <c r="L11" s="5">
        <v>4</v>
      </c>
      <c r="M11" s="5">
        <v>3</v>
      </c>
      <c r="N11" s="5">
        <v>2</v>
      </c>
      <c r="O11" s="5">
        <v>1</v>
      </c>
      <c r="P11" s="24">
        <v>0</v>
      </c>
      <c r="Q11" s="5">
        <v>1</v>
      </c>
      <c r="R11" s="5">
        <v>2</v>
      </c>
      <c r="T11" s="3" t="s">
        <v>32</v>
      </c>
      <c r="U11" s="5">
        <f>B11</f>
        <v>0</v>
      </c>
      <c r="V11" s="5">
        <f>C11</f>
        <v>0</v>
      </c>
      <c r="W11" s="5">
        <f>D11</f>
        <v>2</v>
      </c>
      <c r="X11" s="5">
        <f>E11</f>
        <v>1</v>
      </c>
      <c r="Y11" s="7">
        <f>F11</f>
        <v>2</v>
      </c>
      <c r="Z11" s="5">
        <f t="shared" si="1"/>
        <v>1</v>
      </c>
      <c r="AA11" s="5">
        <f t="shared" si="2"/>
        <v>0</v>
      </c>
      <c r="AB11" s="3">
        <f t="shared" si="3"/>
        <v>6</v>
      </c>
      <c r="AD11" s="3" t="s">
        <v>32</v>
      </c>
      <c r="AE11" s="5">
        <v>1</v>
      </c>
      <c r="AF11" s="5">
        <v>1</v>
      </c>
      <c r="AG11" s="5">
        <v>1</v>
      </c>
      <c r="AH11" s="5">
        <v>1</v>
      </c>
      <c r="AI11" s="5">
        <v>0</v>
      </c>
      <c r="AJ11" s="5">
        <v>1</v>
      </c>
      <c r="AK11" s="5">
        <v>1</v>
      </c>
    </row>
    <row r="12" spans="1:37" x14ac:dyDescent="0.3">
      <c r="A12" s="3" t="s">
        <v>33</v>
      </c>
      <c r="B12" s="5">
        <v>0</v>
      </c>
      <c r="C12" s="5">
        <v>1</v>
      </c>
      <c r="D12" s="5">
        <v>0</v>
      </c>
      <c r="E12" s="5">
        <v>2</v>
      </c>
      <c r="F12" s="5">
        <v>0</v>
      </c>
      <c r="G12" s="7">
        <v>3</v>
      </c>
      <c r="H12" s="5">
        <v>0</v>
      </c>
      <c r="I12" s="3">
        <f t="shared" si="0"/>
        <v>6</v>
      </c>
      <c r="K12" s="25" t="s">
        <v>33</v>
      </c>
      <c r="L12" s="26">
        <v>5</v>
      </c>
      <c r="M12" s="26">
        <v>4</v>
      </c>
      <c r="N12" s="26">
        <v>3</v>
      </c>
      <c r="O12" s="26">
        <v>2</v>
      </c>
      <c r="P12" s="26">
        <v>1</v>
      </c>
      <c r="Q12" s="26">
        <v>0</v>
      </c>
      <c r="R12" s="5">
        <v>1</v>
      </c>
      <c r="T12" s="3" t="s">
        <v>33</v>
      </c>
      <c r="U12" s="5">
        <f>B12</f>
        <v>0</v>
      </c>
      <c r="V12" s="5">
        <f>C12</f>
        <v>1</v>
      </c>
      <c r="W12" s="5">
        <f>D12</f>
        <v>0</v>
      </c>
      <c r="X12" s="5">
        <f>E12</f>
        <v>2</v>
      </c>
      <c r="Y12" s="5">
        <f>F12</f>
        <v>0</v>
      </c>
      <c r="Z12" s="7">
        <f t="shared" si="1"/>
        <v>3</v>
      </c>
      <c r="AA12" s="5">
        <f t="shared" si="2"/>
        <v>0</v>
      </c>
      <c r="AB12" s="3">
        <f t="shared" si="3"/>
        <v>6</v>
      </c>
      <c r="AD12" s="25" t="s">
        <v>33</v>
      </c>
      <c r="AE12" s="26">
        <v>1</v>
      </c>
      <c r="AF12" s="26">
        <v>1</v>
      </c>
      <c r="AG12" s="26">
        <v>1</v>
      </c>
      <c r="AH12" s="26">
        <v>1</v>
      </c>
      <c r="AI12" s="26">
        <v>1</v>
      </c>
      <c r="AJ12" s="26">
        <v>0</v>
      </c>
      <c r="AK12" s="5">
        <v>1</v>
      </c>
    </row>
    <row r="13" spans="1:37" x14ac:dyDescent="0.3">
      <c r="A13" s="3" t="s">
        <v>34</v>
      </c>
      <c r="B13" s="5">
        <v>0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7">
        <v>2</v>
      </c>
      <c r="I13" s="3">
        <f t="shared" si="0"/>
        <v>5</v>
      </c>
      <c r="K13" s="3" t="s">
        <v>34</v>
      </c>
      <c r="L13" s="5">
        <v>6</v>
      </c>
      <c r="M13" s="5">
        <v>5</v>
      </c>
      <c r="N13" s="5">
        <v>4</v>
      </c>
      <c r="O13" s="5">
        <v>3</v>
      </c>
      <c r="P13" s="5">
        <v>2</v>
      </c>
      <c r="Q13" s="5">
        <v>1</v>
      </c>
      <c r="R13" s="5">
        <v>0</v>
      </c>
      <c r="T13" s="3" t="s">
        <v>34</v>
      </c>
      <c r="U13" s="5">
        <f>B13</f>
        <v>0</v>
      </c>
      <c r="V13" s="5">
        <f t="shared" ref="V13:Y13" si="4">C13</f>
        <v>1</v>
      </c>
      <c r="W13" s="5">
        <f t="shared" si="4"/>
        <v>0</v>
      </c>
      <c r="X13" s="5">
        <f t="shared" si="4"/>
        <v>1</v>
      </c>
      <c r="Y13" s="5">
        <f t="shared" si="4"/>
        <v>1</v>
      </c>
      <c r="Z13" s="5">
        <f t="shared" si="1"/>
        <v>0</v>
      </c>
      <c r="AA13" s="7">
        <f t="shared" si="2"/>
        <v>2</v>
      </c>
      <c r="AB13" s="3">
        <f t="shared" si="3"/>
        <v>5</v>
      </c>
      <c r="AD13" s="3" t="s">
        <v>34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0</v>
      </c>
    </row>
    <row r="14" spans="1:37" x14ac:dyDescent="0.3">
      <c r="A14" s="3" t="s">
        <v>6</v>
      </c>
      <c r="B14" s="3">
        <f>SUM(B7:B13)</f>
        <v>9</v>
      </c>
      <c r="C14" s="3">
        <f t="shared" ref="C14:H14" si="5">SUM(C7:C13)</f>
        <v>9</v>
      </c>
      <c r="D14" s="3">
        <f t="shared" si="5"/>
        <v>7</v>
      </c>
      <c r="E14" s="3">
        <f t="shared" si="5"/>
        <v>10</v>
      </c>
      <c r="F14" s="3">
        <f t="shared" si="5"/>
        <v>5</v>
      </c>
      <c r="G14" s="3">
        <f t="shared" si="5"/>
        <v>6</v>
      </c>
      <c r="H14" s="3">
        <f t="shared" si="5"/>
        <v>4</v>
      </c>
      <c r="I14" s="3">
        <f>SUM(B7:H13)</f>
        <v>50</v>
      </c>
      <c r="K14" s="8"/>
      <c r="L14" s="8"/>
      <c r="M14" s="8"/>
      <c r="N14" s="8"/>
      <c r="O14" s="9"/>
      <c r="P14" s="9"/>
      <c r="Q14" s="9"/>
      <c r="R14" s="9"/>
      <c r="T14" s="3" t="s">
        <v>6</v>
      </c>
      <c r="U14" s="3">
        <f>SUM(U7:U13)</f>
        <v>9</v>
      </c>
      <c r="V14" s="3">
        <f t="shared" ref="V14:AA14" si="6">SUM(V7:V13)</f>
        <v>9</v>
      </c>
      <c r="W14" s="3">
        <f t="shared" si="6"/>
        <v>7</v>
      </c>
      <c r="X14" s="3">
        <f t="shared" si="6"/>
        <v>10</v>
      </c>
      <c r="Y14" s="3">
        <f t="shared" si="6"/>
        <v>5</v>
      </c>
      <c r="Z14" s="3">
        <f t="shared" si="6"/>
        <v>6</v>
      </c>
      <c r="AA14" s="3">
        <f t="shared" si="6"/>
        <v>4</v>
      </c>
      <c r="AB14" s="3">
        <f>SUM(U7:AA13)</f>
        <v>50</v>
      </c>
      <c r="AE14" s="8"/>
      <c r="AF14" s="8"/>
      <c r="AG14" s="8"/>
      <c r="AH14" s="8"/>
      <c r="AI14" s="8"/>
      <c r="AJ14" s="8"/>
    </row>
    <row r="15" spans="1:37" x14ac:dyDescent="0.3">
      <c r="K15" s="8"/>
      <c r="L15" s="8"/>
      <c r="M15" s="8"/>
      <c r="N15" s="8"/>
      <c r="O15" s="8"/>
      <c r="P15" s="8"/>
      <c r="Q15" s="8"/>
      <c r="R15" s="8"/>
    </row>
    <row r="16" spans="1:37" x14ac:dyDescent="0.3">
      <c r="A16" s="2" t="s">
        <v>22</v>
      </c>
      <c r="B16"/>
      <c r="T16" s="2" t="s">
        <v>22</v>
      </c>
      <c r="U16"/>
    </row>
    <row r="18" spans="1:34" x14ac:dyDescent="0.3">
      <c r="A18" s="3"/>
      <c r="B18" s="3"/>
      <c r="C18" s="3" t="s">
        <v>1</v>
      </c>
      <c r="D18" s="3"/>
      <c r="E18" s="3"/>
      <c r="F18" s="3"/>
      <c r="G18" s="3"/>
      <c r="H18" s="3"/>
      <c r="I18" s="3"/>
      <c r="T18" s="3"/>
      <c r="U18" s="3"/>
      <c r="V18" s="3" t="s">
        <v>1</v>
      </c>
      <c r="W18" s="3"/>
      <c r="X18" s="3"/>
      <c r="Y18" s="3"/>
      <c r="Z18" s="3"/>
      <c r="AA18" s="3"/>
      <c r="AB18" s="3"/>
    </row>
    <row r="19" spans="1:34" x14ac:dyDescent="0.3">
      <c r="A19" s="3" t="s">
        <v>2</v>
      </c>
      <c r="B19" s="3" t="s">
        <v>3</v>
      </c>
      <c r="C19" s="3" t="s">
        <v>4</v>
      </c>
      <c r="D19" s="3" t="s">
        <v>5</v>
      </c>
      <c r="E19" s="3" t="s">
        <v>29</v>
      </c>
      <c r="F19" s="3" t="s">
        <v>32</v>
      </c>
      <c r="G19" s="3" t="s">
        <v>33</v>
      </c>
      <c r="H19" s="3" t="s">
        <v>34</v>
      </c>
      <c r="I19" s="3" t="s">
        <v>6</v>
      </c>
      <c r="K19" s="2" t="s">
        <v>9</v>
      </c>
      <c r="L19" s="2">
        <f>1-(O19/O20)</f>
        <v>0.4137806637806638</v>
      </c>
      <c r="N19" s="11" t="s">
        <v>19</v>
      </c>
      <c r="O19" s="2">
        <f>SUMPRODUCT(B7:H13,L7:R13)</f>
        <v>65</v>
      </c>
      <c r="P19" s="2"/>
      <c r="Q19" s="2"/>
      <c r="R19" s="2"/>
      <c r="T19" s="3" t="s">
        <v>2</v>
      </c>
      <c r="U19" s="3" t="s">
        <v>3</v>
      </c>
      <c r="V19" s="3" t="s">
        <v>4</v>
      </c>
      <c r="W19" s="3" t="s">
        <v>5</v>
      </c>
      <c r="X19" s="3" t="s">
        <v>29</v>
      </c>
      <c r="Y19" s="3" t="s">
        <v>32</v>
      </c>
      <c r="Z19" s="3" t="s">
        <v>33</v>
      </c>
      <c r="AA19" s="3" t="s">
        <v>34</v>
      </c>
      <c r="AB19" s="3" t="s">
        <v>6</v>
      </c>
      <c r="AD19" s="2" t="s">
        <v>9</v>
      </c>
      <c r="AE19" s="2">
        <f>1-(AH19/AH20)</f>
        <v>0.33962264150943378</v>
      </c>
      <c r="AG19" s="11" t="s">
        <v>19</v>
      </c>
      <c r="AH19" s="2">
        <f>SUMPRODUCT(U7:AA13,AE7:AK13)</f>
        <v>28</v>
      </c>
    </row>
    <row r="20" spans="1:34" x14ac:dyDescent="0.3">
      <c r="A20" s="3" t="s">
        <v>3</v>
      </c>
      <c r="B20" s="7">
        <f>B$14*$I7/$I$14</f>
        <v>1.8</v>
      </c>
      <c r="C20" s="5">
        <f>C$14*$I7/$I$14</f>
        <v>1.8</v>
      </c>
      <c r="D20" s="5">
        <f>D$14*$I7/$I$14</f>
        <v>1.4</v>
      </c>
      <c r="E20" s="5">
        <f>E$14*$I7/$I$14</f>
        <v>2</v>
      </c>
      <c r="F20" s="5">
        <f>F$14*$I7/$I$14</f>
        <v>1</v>
      </c>
      <c r="G20" s="5">
        <f>G$14*$I7/$I$14</f>
        <v>1.2</v>
      </c>
      <c r="H20" s="5">
        <f>H$14*$I7/$I$14</f>
        <v>0.8</v>
      </c>
      <c r="I20" s="3">
        <f>SUM(B20:H20)</f>
        <v>10</v>
      </c>
      <c r="N20" s="11" t="s">
        <v>20</v>
      </c>
      <c r="O20" s="2">
        <f>SUMPRODUCT(B20:H26,L7:R13)</f>
        <v>110.88000000000001</v>
      </c>
      <c r="P20" s="2"/>
      <c r="Q20" s="2"/>
      <c r="R20" s="2"/>
      <c r="T20" s="3" t="s">
        <v>3</v>
      </c>
      <c r="U20" s="7">
        <f>U$14*$I7/$I$14</f>
        <v>1.8</v>
      </c>
      <c r="V20" s="5">
        <f>V$14*$I7/$I$14</f>
        <v>1.8</v>
      </c>
      <c r="W20" s="5">
        <f>W$14*$I7/$I$14</f>
        <v>1.4</v>
      </c>
      <c r="X20" s="5">
        <f>X$14*$I7/$I$14</f>
        <v>2</v>
      </c>
      <c r="Y20" s="5">
        <f>Y$14*$I7/$I$14</f>
        <v>1</v>
      </c>
      <c r="Z20" s="5">
        <f>Z$14*$I7/$I$14</f>
        <v>1.2</v>
      </c>
      <c r="AA20" s="5">
        <f>AA$14*$I7/$I$14</f>
        <v>0.8</v>
      </c>
      <c r="AB20" s="3">
        <f>SUM(U20:AA20)</f>
        <v>10</v>
      </c>
      <c r="AG20" s="11" t="s">
        <v>20</v>
      </c>
      <c r="AH20" s="2">
        <f>SUMPRODUCT(U20:AA26,AE7:AK13)</f>
        <v>42.399999999999991</v>
      </c>
    </row>
    <row r="21" spans="1:34" x14ac:dyDescent="0.3">
      <c r="A21" s="3" t="s">
        <v>4</v>
      </c>
      <c r="B21" s="5">
        <f>B$14*$I8/$I$14</f>
        <v>1.98</v>
      </c>
      <c r="C21" s="7">
        <f>C$14*$I8/$I$14</f>
        <v>1.98</v>
      </c>
      <c r="D21" s="5">
        <f>D$14*$I8/$I$14</f>
        <v>1.54</v>
      </c>
      <c r="E21" s="5">
        <f>E$14*$I8/$I$14</f>
        <v>2.2000000000000002</v>
      </c>
      <c r="F21" s="5">
        <f>F$14*$I8/$I$14</f>
        <v>1.1000000000000001</v>
      </c>
      <c r="G21" s="5">
        <f>G$14*$I8/$I$14</f>
        <v>1.32</v>
      </c>
      <c r="H21" s="5">
        <f t="shared" ref="H21:H26" si="7">H$14*$I8/$I$14</f>
        <v>0.88</v>
      </c>
      <c r="I21" s="3">
        <f t="shared" ref="I21:I26" si="8">SUM(B21:H21)</f>
        <v>11.000000000000002</v>
      </c>
      <c r="K21"/>
      <c r="T21" s="3" t="s">
        <v>4</v>
      </c>
      <c r="U21" s="5">
        <f>U$14*$I8/$I$14</f>
        <v>1.98</v>
      </c>
      <c r="V21" s="7">
        <f>V$14*$I8/$I$14</f>
        <v>1.98</v>
      </c>
      <c r="W21" s="5">
        <f>W$14*$I8/$I$14</f>
        <v>1.54</v>
      </c>
      <c r="X21" s="5">
        <f>X$14*$I8/$I$14</f>
        <v>2.2000000000000002</v>
      </c>
      <c r="Y21" s="5">
        <f>Y$14*$I8/$I$14</f>
        <v>1.1000000000000001</v>
      </c>
      <c r="Z21" s="5">
        <f>Z$14*$I8/$I$14</f>
        <v>1.32</v>
      </c>
      <c r="AA21" s="5">
        <f t="shared" ref="AA21:AA26" si="9">AA$14*$I8/$I$14</f>
        <v>0.88</v>
      </c>
      <c r="AB21" s="3">
        <f t="shared" ref="AB21:AB26" si="10">SUM(U21:AA21)</f>
        <v>11.000000000000002</v>
      </c>
    </row>
    <row r="22" spans="1:34" x14ac:dyDescent="0.3">
      <c r="A22" s="3" t="s">
        <v>5</v>
      </c>
      <c r="B22" s="5">
        <f>B$14*$I9/$I$14</f>
        <v>0.9</v>
      </c>
      <c r="C22" s="5">
        <f>C$14*$I9/$I$14</f>
        <v>0.9</v>
      </c>
      <c r="D22" s="7">
        <f>D$14*$I9/$I$14</f>
        <v>0.7</v>
      </c>
      <c r="E22" s="5">
        <f>E$14*$I9/$I$14</f>
        <v>1</v>
      </c>
      <c r="F22" s="5">
        <f>F$14*$I9/$I$14</f>
        <v>0.5</v>
      </c>
      <c r="G22" s="5">
        <f>G$14*$I9/$I$14</f>
        <v>0.6</v>
      </c>
      <c r="H22" s="5">
        <f t="shared" si="7"/>
        <v>0.4</v>
      </c>
      <c r="I22" s="3">
        <f t="shared" si="8"/>
        <v>5</v>
      </c>
      <c r="N22" s="11" t="s">
        <v>23</v>
      </c>
      <c r="O22" s="1">
        <f>1-(O19/O20)</f>
        <v>0.4137806637806638</v>
      </c>
      <c r="T22" s="3" t="s">
        <v>5</v>
      </c>
      <c r="U22" s="5">
        <f>U$14*$I9/$I$14</f>
        <v>0.9</v>
      </c>
      <c r="V22" s="5">
        <f>V$14*$I9/$I$14</f>
        <v>0.9</v>
      </c>
      <c r="W22" s="7">
        <f>W$14*$I9/$I$14</f>
        <v>0.7</v>
      </c>
      <c r="X22" s="5">
        <f>X$14*$I9/$I$14</f>
        <v>1</v>
      </c>
      <c r="Y22" s="5">
        <f>Y$14*$I9/$I$14</f>
        <v>0.5</v>
      </c>
      <c r="Z22" s="5">
        <f>Z$14*$I9/$I$14</f>
        <v>0.6</v>
      </c>
      <c r="AA22" s="5">
        <f t="shared" si="9"/>
        <v>0.4</v>
      </c>
      <c r="AB22" s="3">
        <f t="shared" si="10"/>
        <v>5</v>
      </c>
      <c r="AG22" s="11" t="s">
        <v>23</v>
      </c>
      <c r="AH22" s="1">
        <f>1-(AH19/AH20)</f>
        <v>0.33962264150943378</v>
      </c>
    </row>
    <row r="23" spans="1:34" x14ac:dyDescent="0.3">
      <c r="A23" s="3" t="s">
        <v>29</v>
      </c>
      <c r="B23" s="5">
        <f>B$14*$I10/$I$14</f>
        <v>1.26</v>
      </c>
      <c r="C23" s="5">
        <f>C$14*$I10/$I$14</f>
        <v>1.26</v>
      </c>
      <c r="D23" s="5">
        <f>D$14*$I10/$I$14</f>
        <v>0.98</v>
      </c>
      <c r="E23" s="7">
        <f>E$14*$I10/$I$14</f>
        <v>1.4</v>
      </c>
      <c r="F23" s="5">
        <f>F$14*$I10/$I$14</f>
        <v>0.7</v>
      </c>
      <c r="G23" s="5">
        <f>G$14*$I10/$I$14</f>
        <v>0.84</v>
      </c>
      <c r="H23" s="5">
        <f t="shared" si="7"/>
        <v>0.56000000000000005</v>
      </c>
      <c r="I23" s="3">
        <f t="shared" si="8"/>
        <v>7</v>
      </c>
      <c r="N23" s="11"/>
      <c r="T23" s="3" t="s">
        <v>29</v>
      </c>
      <c r="U23" s="5">
        <f>U$14*$I10/$I$14</f>
        <v>1.26</v>
      </c>
      <c r="V23" s="5">
        <f>V$14*$I10/$I$14</f>
        <v>1.26</v>
      </c>
      <c r="W23" s="5">
        <f>W$14*$I10/$I$14</f>
        <v>0.98</v>
      </c>
      <c r="X23" s="7">
        <f>X$14*$I10/$I$14</f>
        <v>1.4</v>
      </c>
      <c r="Y23" s="5">
        <f>Y$14*$I10/$I$14</f>
        <v>0.7</v>
      </c>
      <c r="Z23" s="5">
        <f>Z$14*$I10/$I$14</f>
        <v>0.84</v>
      </c>
      <c r="AA23" s="5">
        <f t="shared" si="9"/>
        <v>0.56000000000000005</v>
      </c>
      <c r="AB23" s="3">
        <f t="shared" si="10"/>
        <v>7</v>
      </c>
      <c r="AG23" s="11"/>
    </row>
    <row r="24" spans="1:34" x14ac:dyDescent="0.3">
      <c r="A24" s="3" t="s">
        <v>32</v>
      </c>
      <c r="B24" s="5">
        <f>B$14*$I11/$I$14</f>
        <v>1.08</v>
      </c>
      <c r="C24" s="5">
        <f>C$14*$I11/$I$14</f>
        <v>1.08</v>
      </c>
      <c r="D24" s="5">
        <f>D$14*$I11/$I$14</f>
        <v>0.84</v>
      </c>
      <c r="E24" s="5">
        <f>E$14*$I11/$I$14</f>
        <v>1.2</v>
      </c>
      <c r="F24" s="7">
        <f>F$14*$I11/$I$14</f>
        <v>0.6</v>
      </c>
      <c r="G24" s="5">
        <f>G$14*$I11/$I$14</f>
        <v>0.72</v>
      </c>
      <c r="H24" s="5">
        <f t="shared" si="7"/>
        <v>0.48</v>
      </c>
      <c r="I24" s="3">
        <f t="shared" si="8"/>
        <v>6</v>
      </c>
      <c r="N24" s="11"/>
      <c r="T24" s="3" t="s">
        <v>32</v>
      </c>
      <c r="U24" s="5">
        <f>U$14*$I11/$I$14</f>
        <v>1.08</v>
      </c>
      <c r="V24" s="5">
        <f>V$14*$I11/$I$14</f>
        <v>1.08</v>
      </c>
      <c r="W24" s="5">
        <f>W$14*$I11/$I$14</f>
        <v>0.84</v>
      </c>
      <c r="X24" s="5">
        <f>X$14*$I11/$I$14</f>
        <v>1.2</v>
      </c>
      <c r="Y24" s="7">
        <f>Y$14*$I11/$I$14</f>
        <v>0.6</v>
      </c>
      <c r="Z24" s="5">
        <f>Z$14*$I11/$I$14</f>
        <v>0.72</v>
      </c>
      <c r="AA24" s="5">
        <f t="shared" si="9"/>
        <v>0.48</v>
      </c>
      <c r="AB24" s="3">
        <f t="shared" si="10"/>
        <v>6</v>
      </c>
      <c r="AG24" s="11"/>
    </row>
    <row r="25" spans="1:34" x14ac:dyDescent="0.3">
      <c r="A25" s="3" t="s">
        <v>33</v>
      </c>
      <c r="B25" s="5">
        <f>B$14*$I12/$I$14</f>
        <v>1.08</v>
      </c>
      <c r="C25" s="5">
        <f>C$14*$I12/$I$14</f>
        <v>1.08</v>
      </c>
      <c r="D25" s="5">
        <f>D$14*$I12/$I$14</f>
        <v>0.84</v>
      </c>
      <c r="E25" s="5">
        <f>E$14*$I12/$I$14</f>
        <v>1.2</v>
      </c>
      <c r="F25" s="5">
        <f>F$14*$I12/$I$14</f>
        <v>0.6</v>
      </c>
      <c r="G25" s="7">
        <f>G$14*$I12/$I$14</f>
        <v>0.72</v>
      </c>
      <c r="H25" s="5">
        <f t="shared" si="7"/>
        <v>0.48</v>
      </c>
      <c r="I25" s="3">
        <f t="shared" si="8"/>
        <v>6</v>
      </c>
      <c r="N25" s="11"/>
      <c r="T25" s="3" t="s">
        <v>33</v>
      </c>
      <c r="U25" s="5">
        <f>U$14*$I12/$I$14</f>
        <v>1.08</v>
      </c>
      <c r="V25" s="5">
        <f t="shared" ref="V25:Y25" si="11">V$14*$I12/$I$14</f>
        <v>1.08</v>
      </c>
      <c r="W25" s="5">
        <f t="shared" si="11"/>
        <v>0.84</v>
      </c>
      <c r="X25" s="5">
        <f t="shared" si="11"/>
        <v>1.2</v>
      </c>
      <c r="Y25" s="5">
        <f t="shared" si="11"/>
        <v>0.6</v>
      </c>
      <c r="Z25" s="7">
        <f>Z$14*$I12/$I$14</f>
        <v>0.72</v>
      </c>
      <c r="AA25" s="5">
        <f t="shared" si="9"/>
        <v>0.48</v>
      </c>
      <c r="AB25" s="3">
        <f t="shared" si="10"/>
        <v>6</v>
      </c>
      <c r="AG25" s="11"/>
    </row>
    <row r="26" spans="1:34" x14ac:dyDescent="0.3">
      <c r="A26" s="3" t="s">
        <v>34</v>
      </c>
      <c r="B26" s="5">
        <f>B$14*$I13/$I$14</f>
        <v>0.9</v>
      </c>
      <c r="C26" s="5">
        <f t="shared" ref="C26:G26" si="12">C$14*$I13/$I$14</f>
        <v>0.9</v>
      </c>
      <c r="D26" s="5">
        <f t="shared" si="12"/>
        <v>0.7</v>
      </c>
      <c r="E26" s="5">
        <f t="shared" si="12"/>
        <v>1</v>
      </c>
      <c r="F26" s="5">
        <f t="shared" si="12"/>
        <v>0.5</v>
      </c>
      <c r="G26" s="5">
        <f t="shared" si="12"/>
        <v>0.6</v>
      </c>
      <c r="H26" s="7">
        <f t="shared" si="7"/>
        <v>0.4</v>
      </c>
      <c r="I26" s="3">
        <f t="shared" si="8"/>
        <v>5</v>
      </c>
      <c r="N26" s="11"/>
      <c r="T26" s="3" t="s">
        <v>34</v>
      </c>
      <c r="U26" s="5">
        <f>U$14*$I13/$I$14</f>
        <v>0.9</v>
      </c>
      <c r="V26" s="5">
        <f t="shared" ref="V26:Z26" si="13">V$14*$I13/$I$14</f>
        <v>0.9</v>
      </c>
      <c r="W26" s="5">
        <f t="shared" si="13"/>
        <v>0.7</v>
      </c>
      <c r="X26" s="5">
        <f t="shared" si="13"/>
        <v>1</v>
      </c>
      <c r="Y26" s="5">
        <f t="shared" si="13"/>
        <v>0.5</v>
      </c>
      <c r="Z26" s="5">
        <f t="shared" si="13"/>
        <v>0.6</v>
      </c>
      <c r="AA26" s="7">
        <f t="shared" si="9"/>
        <v>0.4</v>
      </c>
      <c r="AB26" s="3">
        <f t="shared" si="10"/>
        <v>5</v>
      </c>
      <c r="AG26" s="11"/>
    </row>
    <row r="27" spans="1:34" x14ac:dyDescent="0.3">
      <c r="A27" s="3" t="s">
        <v>6</v>
      </c>
      <c r="B27" s="3">
        <f>SUM(B20:B26)</f>
        <v>9.0000000000000018</v>
      </c>
      <c r="C27" s="3">
        <f t="shared" ref="C27:H27" si="14">SUM(C20:C26)</f>
        <v>9.0000000000000018</v>
      </c>
      <c r="D27" s="3">
        <f t="shared" si="14"/>
        <v>6.9999999999999991</v>
      </c>
      <c r="E27" s="3">
        <f t="shared" si="14"/>
        <v>10</v>
      </c>
      <c r="F27" s="3">
        <f t="shared" si="14"/>
        <v>5</v>
      </c>
      <c r="G27" s="3">
        <f t="shared" si="14"/>
        <v>5.9999999999999991</v>
      </c>
      <c r="H27" s="3">
        <f t="shared" si="14"/>
        <v>4</v>
      </c>
      <c r="I27" s="3">
        <f>SUM(B20:H26)</f>
        <v>50</v>
      </c>
      <c r="K27"/>
      <c r="T27" s="3" t="s">
        <v>6</v>
      </c>
      <c r="U27" s="3">
        <f>SUM(U20:U26)</f>
        <v>9.0000000000000018</v>
      </c>
      <c r="V27" s="3">
        <f t="shared" ref="V27:AA27" si="15">SUM(V20:V26)</f>
        <v>9.0000000000000018</v>
      </c>
      <c r="W27" s="3">
        <f t="shared" si="15"/>
        <v>6.9999999999999991</v>
      </c>
      <c r="X27" s="3">
        <f t="shared" si="15"/>
        <v>10</v>
      </c>
      <c r="Y27" s="3">
        <f t="shared" si="15"/>
        <v>5</v>
      </c>
      <c r="Z27" s="3">
        <f t="shared" si="15"/>
        <v>5.9999999999999991</v>
      </c>
      <c r="AA27" s="3">
        <f t="shared" si="15"/>
        <v>4</v>
      </c>
      <c r="AB27" s="3">
        <f>SUM(U20:AA26)</f>
        <v>50</v>
      </c>
    </row>
    <row r="28" spans="1:34" x14ac:dyDescent="0.3">
      <c r="M28"/>
    </row>
    <row r="31" spans="1:34" x14ac:dyDescent="0.3">
      <c r="T31"/>
    </row>
    <row r="32" spans="1:34" x14ac:dyDescent="0.3">
      <c r="T32"/>
    </row>
    <row r="35" spans="1:35" x14ac:dyDescent="0.3">
      <c r="A35" s="2" t="s">
        <v>21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3">
      <c r="K36" s="6" t="s">
        <v>17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20"/>
      <c r="AE36" s="9"/>
      <c r="AF36" s="9"/>
      <c r="AG36" s="9"/>
      <c r="AH36" s="9"/>
      <c r="AI36" s="9"/>
    </row>
    <row r="37" spans="1:35" x14ac:dyDescent="0.3">
      <c r="A37" s="3"/>
      <c r="B37" s="3"/>
      <c r="C37" s="3" t="s">
        <v>1</v>
      </c>
      <c r="D37" s="3"/>
      <c r="E37" s="3"/>
      <c r="F37" s="3"/>
      <c r="G37" s="3"/>
      <c r="H37" s="3"/>
      <c r="I37" s="3"/>
      <c r="K37" s="3"/>
      <c r="L37" s="3"/>
      <c r="M37" s="3" t="s">
        <v>14</v>
      </c>
      <c r="N37" s="23"/>
      <c r="O37" s="3"/>
      <c r="P37" s="23"/>
      <c r="Q37" s="3"/>
      <c r="R37" s="3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3">
      <c r="A38" s="3" t="s">
        <v>2</v>
      </c>
      <c r="B38" s="3" t="s">
        <v>3</v>
      </c>
      <c r="C38" s="3" t="s">
        <v>4</v>
      </c>
      <c r="D38" s="3" t="s">
        <v>5</v>
      </c>
      <c r="E38" s="3" t="s">
        <v>29</v>
      </c>
      <c r="F38" s="3" t="s">
        <v>32</v>
      </c>
      <c r="G38" s="3" t="s">
        <v>33</v>
      </c>
      <c r="H38" s="3" t="s">
        <v>34</v>
      </c>
      <c r="I38" s="3" t="s">
        <v>6</v>
      </c>
      <c r="K38" s="3"/>
      <c r="L38" s="3" t="s">
        <v>3</v>
      </c>
      <c r="M38" s="3" t="s">
        <v>4</v>
      </c>
      <c r="N38" s="23" t="s">
        <v>5</v>
      </c>
      <c r="O38" s="3" t="s">
        <v>29</v>
      </c>
      <c r="P38" s="23" t="s">
        <v>32</v>
      </c>
      <c r="Q38" s="3" t="s">
        <v>33</v>
      </c>
      <c r="R38" s="3" t="s">
        <v>34</v>
      </c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3">
      <c r="A39" s="3" t="s">
        <v>3</v>
      </c>
      <c r="B39" s="7">
        <f>B7</f>
        <v>5</v>
      </c>
      <c r="C39" s="5">
        <f>C7</f>
        <v>2</v>
      </c>
      <c r="D39" s="5">
        <f>D7</f>
        <v>1</v>
      </c>
      <c r="E39" s="5">
        <f>E7</f>
        <v>1</v>
      </c>
      <c r="F39" s="5">
        <f>F7</f>
        <v>0</v>
      </c>
      <c r="G39" s="5">
        <f>G7</f>
        <v>1</v>
      </c>
      <c r="H39" s="5">
        <f>H7</f>
        <v>0</v>
      </c>
      <c r="I39" s="3">
        <f>SUM(B39:H39)</f>
        <v>10</v>
      </c>
      <c r="K39" s="3" t="s">
        <v>3</v>
      </c>
      <c r="L39" s="5">
        <v>0</v>
      </c>
      <c r="M39" s="5">
        <v>2.777E-2</v>
      </c>
      <c r="N39" s="5">
        <v>0.1111</v>
      </c>
      <c r="O39" s="5">
        <v>0.25</v>
      </c>
      <c r="P39" s="24">
        <v>0.44440000000000002</v>
      </c>
      <c r="Q39" s="5">
        <v>0.69440000000000002</v>
      </c>
      <c r="R39" s="5">
        <v>1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3">
      <c r="A40" s="3" t="s">
        <v>4</v>
      </c>
      <c r="B40" s="5">
        <f>B8</f>
        <v>2</v>
      </c>
      <c r="C40" s="7">
        <f>C8</f>
        <v>4</v>
      </c>
      <c r="D40" s="5">
        <f>D8</f>
        <v>1</v>
      </c>
      <c r="E40" s="5">
        <f>E8</f>
        <v>2</v>
      </c>
      <c r="F40" s="5">
        <f>F8</f>
        <v>1</v>
      </c>
      <c r="G40" s="5">
        <f>G8</f>
        <v>0</v>
      </c>
      <c r="H40" s="5">
        <f t="shared" ref="H40:H45" si="16">H8</f>
        <v>1</v>
      </c>
      <c r="I40" s="3">
        <f t="shared" ref="I40:I45" si="17">SUM(B40:H40)</f>
        <v>11</v>
      </c>
      <c r="K40" s="3" t="s">
        <v>4</v>
      </c>
      <c r="L40" s="5">
        <v>2.7799999999999998E-2</v>
      </c>
      <c r="M40" s="5">
        <v>0</v>
      </c>
      <c r="N40" s="5">
        <v>2.7799999999999998E-2</v>
      </c>
      <c r="O40" s="5">
        <v>0.1111</v>
      </c>
      <c r="P40" s="5">
        <v>0.25</v>
      </c>
      <c r="Q40" s="5">
        <v>0.44440000000000002</v>
      </c>
      <c r="R40" s="5">
        <v>0.69440000000000002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x14ac:dyDescent="0.3">
      <c r="A41" s="3" t="s">
        <v>5</v>
      </c>
      <c r="B41" s="5">
        <f>B9</f>
        <v>1</v>
      </c>
      <c r="C41" s="5">
        <f>C9</f>
        <v>0</v>
      </c>
      <c r="D41" s="7">
        <f>D9</f>
        <v>3</v>
      </c>
      <c r="E41" s="5">
        <f>E9</f>
        <v>0</v>
      </c>
      <c r="F41" s="5">
        <f>F9</f>
        <v>1</v>
      </c>
      <c r="G41" s="5">
        <f>G9</f>
        <v>0</v>
      </c>
      <c r="H41" s="5">
        <f t="shared" si="16"/>
        <v>0</v>
      </c>
      <c r="I41" s="3">
        <f t="shared" si="17"/>
        <v>5</v>
      </c>
      <c r="K41" s="3" t="s">
        <v>5</v>
      </c>
      <c r="L41" s="5">
        <v>0.1111</v>
      </c>
      <c r="M41" s="5">
        <v>2.7799999999999998E-2</v>
      </c>
      <c r="N41" s="5">
        <v>0</v>
      </c>
      <c r="O41" s="5">
        <v>2.7799999999999998E-2</v>
      </c>
      <c r="P41" s="5">
        <v>0.1111</v>
      </c>
      <c r="Q41" s="5">
        <v>0.25</v>
      </c>
      <c r="R41" s="5">
        <v>0.44440000000000002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x14ac:dyDescent="0.3">
      <c r="A42" s="3" t="s">
        <v>29</v>
      </c>
      <c r="B42" s="5">
        <f>B10</f>
        <v>1</v>
      </c>
      <c r="C42" s="5">
        <f>C10</f>
        <v>1</v>
      </c>
      <c r="D42" s="5">
        <f>D10</f>
        <v>0</v>
      </c>
      <c r="E42" s="7">
        <f>E10</f>
        <v>3</v>
      </c>
      <c r="F42" s="5">
        <f>F10</f>
        <v>0</v>
      </c>
      <c r="G42" s="5">
        <f>G10</f>
        <v>1</v>
      </c>
      <c r="H42" s="5">
        <f t="shared" si="16"/>
        <v>1</v>
      </c>
      <c r="I42" s="3">
        <f t="shared" si="17"/>
        <v>7</v>
      </c>
      <c r="K42" s="25" t="s">
        <v>29</v>
      </c>
      <c r="L42" s="5">
        <v>0.25</v>
      </c>
      <c r="M42" s="5">
        <v>0.1111</v>
      </c>
      <c r="N42" s="5">
        <v>2.7799999999999998E-2</v>
      </c>
      <c r="O42" s="26">
        <v>0</v>
      </c>
      <c r="P42" s="5">
        <v>2.7799999999999998E-2</v>
      </c>
      <c r="Q42" s="5">
        <v>0.1111</v>
      </c>
      <c r="R42" s="5">
        <v>0.25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x14ac:dyDescent="0.3">
      <c r="A43" s="3" t="s">
        <v>32</v>
      </c>
      <c r="B43" s="5">
        <f>B11</f>
        <v>0</v>
      </c>
      <c r="C43" s="5">
        <f>C11</f>
        <v>0</v>
      </c>
      <c r="D43" s="5">
        <f>D11</f>
        <v>2</v>
      </c>
      <c r="E43" s="5">
        <f>E11</f>
        <v>1</v>
      </c>
      <c r="F43" s="7">
        <f>F11</f>
        <v>2</v>
      </c>
      <c r="G43" s="5">
        <f>G11</f>
        <v>1</v>
      </c>
      <c r="H43" s="5">
        <f t="shared" si="16"/>
        <v>0</v>
      </c>
      <c r="I43" s="3">
        <f t="shared" si="17"/>
        <v>6</v>
      </c>
      <c r="K43" s="3" t="s">
        <v>32</v>
      </c>
      <c r="L43" s="5">
        <v>0.44440000000000002</v>
      </c>
      <c r="M43" s="5">
        <v>0.25</v>
      </c>
      <c r="N43" s="5">
        <v>0.1111</v>
      </c>
      <c r="O43" s="5">
        <v>2.7799999999999998E-2</v>
      </c>
      <c r="P43" s="24">
        <v>0</v>
      </c>
      <c r="Q43" s="5">
        <v>2.7799999999999998E-2</v>
      </c>
      <c r="R43" s="5">
        <v>0.1111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x14ac:dyDescent="0.3">
      <c r="A44" s="3" t="s">
        <v>33</v>
      </c>
      <c r="B44" s="5">
        <f>B12</f>
        <v>0</v>
      </c>
      <c r="C44" s="5">
        <f>C12</f>
        <v>1</v>
      </c>
      <c r="D44" s="5">
        <f>D12</f>
        <v>0</v>
      </c>
      <c r="E44" s="5">
        <f>E12</f>
        <v>2</v>
      </c>
      <c r="F44" s="5">
        <f>F12</f>
        <v>0</v>
      </c>
      <c r="G44" s="7">
        <f>G12</f>
        <v>3</v>
      </c>
      <c r="H44" s="5">
        <f t="shared" si="16"/>
        <v>0</v>
      </c>
      <c r="I44" s="3">
        <f t="shared" si="17"/>
        <v>6</v>
      </c>
      <c r="K44" s="25" t="s">
        <v>33</v>
      </c>
      <c r="L44" s="5">
        <v>0.69440000000000002</v>
      </c>
      <c r="M44" s="5">
        <v>0.44440000000000002</v>
      </c>
      <c r="N44" s="5">
        <v>0.25</v>
      </c>
      <c r="O44" s="5">
        <v>0.1111</v>
      </c>
      <c r="P44" s="5">
        <v>2.7799999999999998E-2</v>
      </c>
      <c r="Q44" s="26">
        <v>0</v>
      </c>
      <c r="R44" s="5">
        <v>2.7799999999999998E-2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x14ac:dyDescent="0.3">
      <c r="A45" s="3" t="s">
        <v>34</v>
      </c>
      <c r="B45" s="5">
        <f>B13</f>
        <v>0</v>
      </c>
      <c r="C45" s="5">
        <f>C13</f>
        <v>1</v>
      </c>
      <c r="D45" s="5">
        <f>D13</f>
        <v>0</v>
      </c>
      <c r="E45" s="5">
        <f>E13</f>
        <v>1</v>
      </c>
      <c r="F45" s="5">
        <f>F13</f>
        <v>1</v>
      </c>
      <c r="G45" s="5">
        <f>G13</f>
        <v>0</v>
      </c>
      <c r="H45" s="7">
        <f t="shared" si="16"/>
        <v>2</v>
      </c>
      <c r="I45" s="3">
        <f t="shared" si="17"/>
        <v>5</v>
      </c>
      <c r="K45" s="3" t="s">
        <v>34</v>
      </c>
      <c r="L45" s="5">
        <v>1</v>
      </c>
      <c r="M45" s="5">
        <v>0.69440000000000002</v>
      </c>
      <c r="N45" s="5">
        <v>0.44440000000000002</v>
      </c>
      <c r="O45" s="5">
        <v>0.25</v>
      </c>
      <c r="P45" s="5">
        <v>0.1111</v>
      </c>
      <c r="Q45" s="5">
        <v>2.7799999999999998E-2</v>
      </c>
      <c r="R45" s="5">
        <v>0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x14ac:dyDescent="0.3">
      <c r="A46" s="3" t="s">
        <v>6</v>
      </c>
      <c r="B46" s="3">
        <f>SUM(B39:B45)</f>
        <v>9</v>
      </c>
      <c r="C46" s="3">
        <f t="shared" ref="C46:H46" si="18">SUM(C39:C45)</f>
        <v>9</v>
      </c>
      <c r="D46" s="3">
        <f t="shared" si="18"/>
        <v>7</v>
      </c>
      <c r="E46" s="3">
        <f t="shared" si="18"/>
        <v>10</v>
      </c>
      <c r="F46" s="3">
        <f t="shared" si="18"/>
        <v>5</v>
      </c>
      <c r="G46" s="3">
        <f t="shared" si="18"/>
        <v>6</v>
      </c>
      <c r="H46" s="3">
        <f t="shared" si="18"/>
        <v>4</v>
      </c>
      <c r="I46" s="3">
        <f>SUM(B39:H45)</f>
        <v>50</v>
      </c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x14ac:dyDescent="0.3"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x14ac:dyDescent="0.3">
      <c r="A48" s="2" t="s">
        <v>22</v>
      </c>
      <c r="B48"/>
      <c r="S48" s="9"/>
      <c r="T48" s="9"/>
      <c r="U48" s="21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x14ac:dyDescent="0.3"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x14ac:dyDescent="0.3">
      <c r="A50" s="3"/>
      <c r="B50" s="3"/>
      <c r="C50" s="3" t="s">
        <v>1</v>
      </c>
      <c r="D50" s="3"/>
      <c r="E50" s="3"/>
      <c r="F50" s="3"/>
      <c r="G50" s="3"/>
      <c r="H50" s="3"/>
      <c r="I50" s="3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x14ac:dyDescent="0.3">
      <c r="A51" s="3" t="s">
        <v>2</v>
      </c>
      <c r="B51" s="3" t="s">
        <v>3</v>
      </c>
      <c r="C51" s="3" t="s">
        <v>4</v>
      </c>
      <c r="D51" s="3" t="s">
        <v>5</v>
      </c>
      <c r="E51" s="3" t="s">
        <v>29</v>
      </c>
      <c r="F51" s="3" t="s">
        <v>32</v>
      </c>
      <c r="G51" s="3" t="s">
        <v>33</v>
      </c>
      <c r="H51" s="3" t="s">
        <v>34</v>
      </c>
      <c r="I51" s="3" t="s">
        <v>6</v>
      </c>
      <c r="K51" s="2" t="s">
        <v>9</v>
      </c>
      <c r="L51" s="2">
        <f>1-(N51/N52)</f>
        <v>0.49858772413488062</v>
      </c>
      <c r="M51" s="11" t="s">
        <v>30</v>
      </c>
      <c r="N51" s="2">
        <f>SUMPRODUCT(B39:H45,L39:R45)</f>
        <v>5.3053400000000002</v>
      </c>
      <c r="O51" s="2"/>
      <c r="P51" s="2"/>
      <c r="Q51" s="2"/>
      <c r="R51" s="2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22"/>
      <c r="AE51" s="22"/>
      <c r="AF51" s="9"/>
      <c r="AG51" s="22"/>
      <c r="AH51" s="9"/>
      <c r="AI51" s="9"/>
    </row>
    <row r="52" spans="1:35" x14ac:dyDescent="0.3">
      <c r="A52" s="3" t="s">
        <v>3</v>
      </c>
      <c r="B52" s="7">
        <f>B$14*$I39/$I$14</f>
        <v>1.8</v>
      </c>
      <c r="C52" s="5">
        <f>C$14*$I39/$I$14</f>
        <v>1.8</v>
      </c>
      <c r="D52" s="5">
        <f>D$14*$I39/$I$14</f>
        <v>1.4</v>
      </c>
      <c r="E52" s="5">
        <f>E$14*$I39/$I$14</f>
        <v>2</v>
      </c>
      <c r="F52" s="5">
        <f>F$14*$I39/$I$14</f>
        <v>1</v>
      </c>
      <c r="G52" s="5">
        <f>G$14*$I39/$I$14</f>
        <v>1.2</v>
      </c>
      <c r="H52" s="5">
        <f>H$14*$I39/$I$14</f>
        <v>0.8</v>
      </c>
      <c r="I52" s="3">
        <f>SUM(B52:H52)</f>
        <v>10</v>
      </c>
      <c r="M52" s="11" t="s">
        <v>31</v>
      </c>
      <c r="N52" s="2">
        <f>SUMPRODUCT(B52:H58,L39:R45)</f>
        <v>10.580794000000001</v>
      </c>
      <c r="O52" s="2"/>
      <c r="P52" s="2"/>
      <c r="Q52" s="2"/>
      <c r="R52" s="2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22"/>
      <c r="AH52" s="9"/>
      <c r="AI52" s="9"/>
    </row>
    <row r="53" spans="1:35" x14ac:dyDescent="0.3">
      <c r="A53" s="3" t="s">
        <v>4</v>
      </c>
      <c r="B53" s="5">
        <f>B$14*$I40/$I$14</f>
        <v>1.98</v>
      </c>
      <c r="C53" s="7">
        <f>C$14*$I40/$I$14</f>
        <v>1.98</v>
      </c>
      <c r="D53" s="5">
        <f>D$14*$I40/$I$14</f>
        <v>1.54</v>
      </c>
      <c r="E53" s="5">
        <f>E$14*$I40/$I$14</f>
        <v>2.2000000000000002</v>
      </c>
      <c r="F53" s="5">
        <f>F$14*$I40/$I$14</f>
        <v>1.1000000000000001</v>
      </c>
      <c r="G53" s="5">
        <f>G$14*$I40/$I$14</f>
        <v>1.32</v>
      </c>
      <c r="H53" s="5">
        <f t="shared" ref="H53:H58" si="19">H$14*$I40/$I$14</f>
        <v>0.88</v>
      </c>
      <c r="I53" s="3">
        <f t="shared" ref="I53:I58" si="20">SUM(B53:H53)</f>
        <v>11.000000000000002</v>
      </c>
      <c r="K53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21"/>
      <c r="AE53" s="9"/>
      <c r="AF53" s="9"/>
      <c r="AG53" s="9"/>
      <c r="AH53" s="9"/>
      <c r="AI53" s="9"/>
    </row>
    <row r="54" spans="1:35" x14ac:dyDescent="0.3">
      <c r="A54" s="3" t="s">
        <v>5</v>
      </c>
      <c r="B54" s="5">
        <f>B$14*$I41/$I$14</f>
        <v>0.9</v>
      </c>
      <c r="C54" s="5">
        <f>C$14*$I41/$I$14</f>
        <v>0.9</v>
      </c>
      <c r="D54" s="7">
        <f>D$14*$I41/$I$14</f>
        <v>0.7</v>
      </c>
      <c r="E54" s="5">
        <f>E$14*$I41/$I$14</f>
        <v>1</v>
      </c>
      <c r="F54" s="5">
        <f>F$14*$I41/$I$14</f>
        <v>0.5</v>
      </c>
      <c r="G54" s="5">
        <f>G$14*$I41/$I$14</f>
        <v>0.6</v>
      </c>
      <c r="H54" s="5">
        <f t="shared" si="19"/>
        <v>0.4</v>
      </c>
      <c r="I54" s="3">
        <f t="shared" si="20"/>
        <v>5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x14ac:dyDescent="0.3">
      <c r="A55" s="3" t="s">
        <v>29</v>
      </c>
      <c r="B55" s="5">
        <f>B$14*$I42/$I$14</f>
        <v>1.26</v>
      </c>
      <c r="C55" s="5">
        <f>C$14*$I42/$I$14</f>
        <v>1.26</v>
      </c>
      <c r="D55" s="5">
        <f>D$14*$I42/$I$14</f>
        <v>0.98</v>
      </c>
      <c r="E55" s="7">
        <f>E$14*$I42/$I$14</f>
        <v>1.4</v>
      </c>
      <c r="F55" s="5">
        <f>F$14*$I42/$I$14</f>
        <v>0.7</v>
      </c>
      <c r="G55" s="5">
        <f>G$14*$I42/$I$14</f>
        <v>0.84</v>
      </c>
      <c r="H55" s="5">
        <f t="shared" si="19"/>
        <v>0.56000000000000005</v>
      </c>
      <c r="I55" s="3">
        <f t="shared" si="20"/>
        <v>7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x14ac:dyDescent="0.3">
      <c r="A56" s="3" t="s">
        <v>32</v>
      </c>
      <c r="B56" s="5">
        <f>B$14*$I43/$I$14</f>
        <v>1.08</v>
      </c>
      <c r="C56" s="5">
        <f>C$14*$I43/$I$14</f>
        <v>1.08</v>
      </c>
      <c r="D56" s="5">
        <f>D$14*$I43/$I$14</f>
        <v>0.84</v>
      </c>
      <c r="E56" s="5">
        <f>E$14*$I43/$I$14</f>
        <v>1.2</v>
      </c>
      <c r="F56" s="7">
        <f>F$14*$I43/$I$14</f>
        <v>0.6</v>
      </c>
      <c r="G56" s="5">
        <f>G$14*$I43/$I$14</f>
        <v>0.72</v>
      </c>
      <c r="H56" s="5">
        <f t="shared" si="19"/>
        <v>0.48</v>
      </c>
      <c r="I56" s="3">
        <f t="shared" si="20"/>
        <v>6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x14ac:dyDescent="0.3">
      <c r="A57" s="3" t="s">
        <v>33</v>
      </c>
      <c r="B57" s="5">
        <f>B$14*$I44/$I$14</f>
        <v>1.08</v>
      </c>
      <c r="C57" s="5">
        <f t="shared" ref="C57:F57" si="21">C$14*$I44/$I$14</f>
        <v>1.08</v>
      </c>
      <c r="D57" s="5">
        <f t="shared" si="21"/>
        <v>0.84</v>
      </c>
      <c r="E57" s="5">
        <f t="shared" si="21"/>
        <v>1.2</v>
      </c>
      <c r="F57" s="5">
        <f t="shared" si="21"/>
        <v>0.6</v>
      </c>
      <c r="G57" s="7">
        <f>G$14*$I44/$I$14</f>
        <v>0.72</v>
      </c>
      <c r="H57" s="5">
        <f t="shared" si="19"/>
        <v>0.48</v>
      </c>
      <c r="I57" s="3">
        <f t="shared" si="20"/>
        <v>6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x14ac:dyDescent="0.3">
      <c r="A58" s="3" t="s">
        <v>34</v>
      </c>
      <c r="B58" s="5">
        <f>B$14*$I45/$I$14</f>
        <v>0.9</v>
      </c>
      <c r="C58" s="5">
        <f t="shared" ref="C58:G58" si="22">C$14*$I45/$I$14</f>
        <v>0.9</v>
      </c>
      <c r="D58" s="5">
        <f t="shared" si="22"/>
        <v>0.7</v>
      </c>
      <c r="E58" s="5">
        <f t="shared" si="22"/>
        <v>1</v>
      </c>
      <c r="F58" s="5">
        <f t="shared" si="22"/>
        <v>0.5</v>
      </c>
      <c r="G58" s="5">
        <f t="shared" si="22"/>
        <v>0.6</v>
      </c>
      <c r="H58" s="7">
        <f t="shared" si="19"/>
        <v>0.4</v>
      </c>
      <c r="I58" s="3">
        <f t="shared" si="20"/>
        <v>5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x14ac:dyDescent="0.3">
      <c r="A59" s="3" t="s">
        <v>6</v>
      </c>
      <c r="B59" s="3">
        <f>SUM(B52:B58)</f>
        <v>9.0000000000000018</v>
      </c>
      <c r="C59" s="3">
        <f t="shared" ref="C59:H59" si="23">SUM(C52:C58)</f>
        <v>9.0000000000000018</v>
      </c>
      <c r="D59" s="3">
        <f t="shared" si="23"/>
        <v>6.9999999999999991</v>
      </c>
      <c r="E59" s="3">
        <f t="shared" si="23"/>
        <v>10</v>
      </c>
      <c r="F59" s="3">
        <f t="shared" si="23"/>
        <v>5</v>
      </c>
      <c r="G59" s="3">
        <f t="shared" si="23"/>
        <v>5.9999999999999991</v>
      </c>
      <c r="H59" s="3">
        <f t="shared" si="23"/>
        <v>4</v>
      </c>
      <c r="I59" s="3">
        <f>SUM(B52:H58)</f>
        <v>50</v>
      </c>
      <c r="K5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21"/>
      <c r="AE59" s="9"/>
      <c r="AF59" s="9"/>
      <c r="AG59" s="9"/>
      <c r="AH59" s="9"/>
      <c r="AI59" s="9"/>
    </row>
    <row r="60" spans="1:35" x14ac:dyDescent="0.3"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x14ac:dyDescent="0.3"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EECDF-A9EC-41D2-833B-6F90AB8B3CF1}">
  <dimension ref="A2:AK61"/>
  <sheetViews>
    <sheetView zoomScale="70" zoomScaleNormal="70" workbookViewId="0">
      <selection activeCell="J29" sqref="J29"/>
    </sheetView>
  </sheetViews>
  <sheetFormatPr defaultRowHeight="14.4" x14ac:dyDescent="0.3"/>
  <cols>
    <col min="1" max="1" width="17.88671875" style="1" customWidth="1"/>
    <col min="2" max="16384" width="8.88671875" style="1"/>
  </cols>
  <sheetData>
    <row r="2" spans="1:37" x14ac:dyDescent="0.3">
      <c r="A2" s="2"/>
    </row>
    <row r="3" spans="1:37" x14ac:dyDescent="0.3">
      <c r="A3" s="2" t="s">
        <v>21</v>
      </c>
      <c r="S3" s="2"/>
      <c r="T3" s="2" t="s">
        <v>21</v>
      </c>
    </row>
    <row r="4" spans="1:37" x14ac:dyDescent="0.3">
      <c r="K4" s="6" t="s">
        <v>16</v>
      </c>
      <c r="AD4" s="6" t="s">
        <v>18</v>
      </c>
    </row>
    <row r="5" spans="1:37" x14ac:dyDescent="0.3">
      <c r="A5" s="3"/>
      <c r="B5" s="3"/>
      <c r="C5" s="3" t="s">
        <v>1</v>
      </c>
      <c r="D5" s="3"/>
      <c r="E5" s="3"/>
      <c r="F5" s="3"/>
      <c r="G5" s="3"/>
      <c r="H5" s="3"/>
      <c r="I5" s="3"/>
      <c r="K5" s="3"/>
      <c r="L5" s="3"/>
      <c r="M5" s="3" t="s">
        <v>14</v>
      </c>
      <c r="N5" s="3"/>
      <c r="O5" s="23"/>
      <c r="P5" s="23"/>
      <c r="Q5" s="3"/>
      <c r="R5" s="3"/>
      <c r="T5" s="3"/>
      <c r="U5" s="3"/>
      <c r="V5" s="3" t="s">
        <v>1</v>
      </c>
      <c r="W5" s="3"/>
      <c r="X5" s="3"/>
      <c r="Y5" s="3"/>
      <c r="Z5" s="3"/>
      <c r="AA5" s="3"/>
      <c r="AB5" s="3"/>
      <c r="AD5" s="3"/>
      <c r="AE5" s="3"/>
      <c r="AF5" s="3" t="s">
        <v>14</v>
      </c>
      <c r="AG5" s="3"/>
      <c r="AH5" s="3"/>
      <c r="AI5" s="3"/>
      <c r="AJ5" s="3"/>
      <c r="AK5" s="3"/>
    </row>
    <row r="6" spans="1:37" x14ac:dyDescent="0.3">
      <c r="A6" s="3" t="s">
        <v>2</v>
      </c>
      <c r="B6" s="3" t="s">
        <v>3</v>
      </c>
      <c r="C6" s="3" t="s">
        <v>4</v>
      </c>
      <c r="D6" s="3" t="s">
        <v>5</v>
      </c>
      <c r="E6" s="3" t="s">
        <v>29</v>
      </c>
      <c r="F6" s="3" t="s">
        <v>32</v>
      </c>
      <c r="G6" s="3" t="s">
        <v>33</v>
      </c>
      <c r="H6" s="3" t="s">
        <v>34</v>
      </c>
      <c r="I6" s="3" t="s">
        <v>6</v>
      </c>
      <c r="K6" s="3"/>
      <c r="L6" s="3" t="s">
        <v>3</v>
      </c>
      <c r="M6" s="3" t="s">
        <v>4</v>
      </c>
      <c r="N6" s="3" t="s">
        <v>5</v>
      </c>
      <c r="O6" s="23" t="s">
        <v>29</v>
      </c>
      <c r="P6" s="23" t="s">
        <v>32</v>
      </c>
      <c r="Q6" s="3" t="s">
        <v>33</v>
      </c>
      <c r="R6" s="3" t="s">
        <v>34</v>
      </c>
      <c r="T6" s="3" t="s">
        <v>2</v>
      </c>
      <c r="U6" s="3" t="s">
        <v>3</v>
      </c>
      <c r="V6" s="3" t="s">
        <v>4</v>
      </c>
      <c r="W6" s="3" t="s">
        <v>5</v>
      </c>
      <c r="X6" s="3" t="s">
        <v>29</v>
      </c>
      <c r="Y6" s="3" t="s">
        <v>32</v>
      </c>
      <c r="Z6" s="3" t="s">
        <v>33</v>
      </c>
      <c r="AA6" s="3" t="s">
        <v>34</v>
      </c>
      <c r="AB6" s="3" t="s">
        <v>6</v>
      </c>
      <c r="AD6" s="3"/>
      <c r="AE6" s="3" t="s">
        <v>3</v>
      </c>
      <c r="AF6" s="3" t="s">
        <v>4</v>
      </c>
      <c r="AG6" s="3" t="s">
        <v>5</v>
      </c>
      <c r="AH6" s="3" t="s">
        <v>29</v>
      </c>
      <c r="AI6" s="23" t="s">
        <v>32</v>
      </c>
      <c r="AJ6" s="3" t="s">
        <v>33</v>
      </c>
      <c r="AK6" s="3" t="s">
        <v>34</v>
      </c>
    </row>
    <row r="7" spans="1:37" x14ac:dyDescent="0.3">
      <c r="A7" s="3" t="s">
        <v>3</v>
      </c>
      <c r="B7" s="7">
        <v>13</v>
      </c>
      <c r="C7" s="5">
        <v>2</v>
      </c>
      <c r="D7" s="5">
        <v>1</v>
      </c>
      <c r="E7" s="5">
        <v>1</v>
      </c>
      <c r="F7" s="5">
        <v>0</v>
      </c>
      <c r="G7" s="5">
        <v>1</v>
      </c>
      <c r="H7" s="5">
        <v>0</v>
      </c>
      <c r="I7" s="3">
        <f>SUM(B7:H7)</f>
        <v>18</v>
      </c>
      <c r="K7" s="3" t="s">
        <v>3</v>
      </c>
      <c r="L7" s="5">
        <v>0</v>
      </c>
      <c r="M7" s="5">
        <v>1</v>
      </c>
      <c r="N7" s="5">
        <v>2</v>
      </c>
      <c r="O7" s="24">
        <v>3</v>
      </c>
      <c r="P7" s="24">
        <v>4</v>
      </c>
      <c r="Q7" s="5">
        <v>5</v>
      </c>
      <c r="R7" s="5">
        <v>6</v>
      </c>
      <c r="T7" s="3" t="s">
        <v>3</v>
      </c>
      <c r="U7" s="7">
        <f>B7</f>
        <v>13</v>
      </c>
      <c r="V7" s="5">
        <f>C7</f>
        <v>2</v>
      </c>
      <c r="W7" s="5">
        <f>D7</f>
        <v>1</v>
      </c>
      <c r="X7" s="5">
        <f>E7</f>
        <v>1</v>
      </c>
      <c r="Y7" s="5">
        <f>F7</f>
        <v>0</v>
      </c>
      <c r="Z7" s="5">
        <f>G7</f>
        <v>1</v>
      </c>
      <c r="AA7" s="5">
        <f>H7</f>
        <v>0</v>
      </c>
      <c r="AB7" s="3">
        <f>SUM(U7:AA7)</f>
        <v>18</v>
      </c>
      <c r="AD7" s="3" t="s">
        <v>3</v>
      </c>
      <c r="AE7" s="5">
        <v>0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</row>
    <row r="8" spans="1:37" x14ac:dyDescent="0.3">
      <c r="A8" s="3" t="s">
        <v>4</v>
      </c>
      <c r="B8" s="5">
        <v>2</v>
      </c>
      <c r="C8" s="7">
        <v>3</v>
      </c>
      <c r="D8" s="5">
        <v>1</v>
      </c>
      <c r="E8" s="5">
        <v>2</v>
      </c>
      <c r="F8" s="5">
        <v>1</v>
      </c>
      <c r="G8" s="5">
        <v>0</v>
      </c>
      <c r="H8" s="5">
        <v>1</v>
      </c>
      <c r="I8" s="3">
        <f t="shared" ref="I8:I13" si="0">SUM(B8:H8)</f>
        <v>10</v>
      </c>
      <c r="K8" s="3" t="s">
        <v>4</v>
      </c>
      <c r="L8" s="5">
        <v>1</v>
      </c>
      <c r="M8" s="5">
        <v>0</v>
      </c>
      <c r="N8" s="5">
        <v>1</v>
      </c>
      <c r="O8" s="24">
        <v>2</v>
      </c>
      <c r="P8" s="24">
        <v>3</v>
      </c>
      <c r="Q8" s="5">
        <v>4</v>
      </c>
      <c r="R8" s="5">
        <v>5</v>
      </c>
      <c r="T8" s="3" t="s">
        <v>4</v>
      </c>
      <c r="U8" s="5">
        <f>B8</f>
        <v>2</v>
      </c>
      <c r="V8" s="7">
        <f>C8</f>
        <v>3</v>
      </c>
      <c r="W8" s="5">
        <f>D8</f>
        <v>1</v>
      </c>
      <c r="X8" s="5">
        <f>E8</f>
        <v>2</v>
      </c>
      <c r="Y8" s="5">
        <f>F8</f>
        <v>1</v>
      </c>
      <c r="Z8" s="5">
        <f t="shared" ref="Z8:AA13" si="1">G8</f>
        <v>0</v>
      </c>
      <c r="AA8" s="5">
        <f t="shared" si="1"/>
        <v>1</v>
      </c>
      <c r="AB8" s="3">
        <f t="shared" ref="AB8:AB13" si="2">SUM(U8:AA8)</f>
        <v>10</v>
      </c>
      <c r="AD8" s="3" t="s">
        <v>4</v>
      </c>
      <c r="AE8" s="5">
        <v>1</v>
      </c>
      <c r="AF8" s="5">
        <v>0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</row>
    <row r="9" spans="1:37" x14ac:dyDescent="0.3">
      <c r="A9" s="3" t="s">
        <v>5</v>
      </c>
      <c r="B9" s="5">
        <v>1</v>
      </c>
      <c r="C9" s="5">
        <v>0</v>
      </c>
      <c r="D9" s="7">
        <v>1</v>
      </c>
      <c r="E9" s="5">
        <v>0</v>
      </c>
      <c r="F9" s="5">
        <v>1</v>
      </c>
      <c r="G9" s="5">
        <v>0</v>
      </c>
      <c r="H9" s="5">
        <v>0</v>
      </c>
      <c r="I9" s="3">
        <f t="shared" si="0"/>
        <v>3</v>
      </c>
      <c r="K9" s="3" t="s">
        <v>5</v>
      </c>
      <c r="L9" s="5">
        <v>2</v>
      </c>
      <c r="M9" s="5">
        <v>1</v>
      </c>
      <c r="N9" s="5">
        <v>0</v>
      </c>
      <c r="O9" s="24">
        <v>1</v>
      </c>
      <c r="P9" s="24">
        <v>2</v>
      </c>
      <c r="Q9" s="5">
        <v>3</v>
      </c>
      <c r="R9" s="5">
        <v>4</v>
      </c>
      <c r="T9" s="3" t="s">
        <v>5</v>
      </c>
      <c r="U9" s="5">
        <f>B9</f>
        <v>1</v>
      </c>
      <c r="V9" s="5">
        <f>C9</f>
        <v>0</v>
      </c>
      <c r="W9" s="7">
        <f>D9</f>
        <v>1</v>
      </c>
      <c r="X9" s="5">
        <f>E9</f>
        <v>0</v>
      </c>
      <c r="Y9" s="5">
        <f>F9</f>
        <v>1</v>
      </c>
      <c r="Z9" s="5">
        <f t="shared" si="1"/>
        <v>0</v>
      </c>
      <c r="AA9" s="5">
        <f t="shared" si="1"/>
        <v>0</v>
      </c>
      <c r="AB9" s="3">
        <f t="shared" si="2"/>
        <v>3</v>
      </c>
      <c r="AD9" s="3" t="s">
        <v>5</v>
      </c>
      <c r="AE9" s="5">
        <v>1</v>
      </c>
      <c r="AF9" s="5">
        <v>1</v>
      </c>
      <c r="AG9" s="5">
        <v>0</v>
      </c>
      <c r="AH9" s="5">
        <v>1</v>
      </c>
      <c r="AI9" s="5">
        <v>1</v>
      </c>
      <c r="AJ9" s="5">
        <v>1</v>
      </c>
      <c r="AK9" s="5">
        <v>1</v>
      </c>
    </row>
    <row r="10" spans="1:37" x14ac:dyDescent="0.3">
      <c r="A10" s="3" t="s">
        <v>29</v>
      </c>
      <c r="B10" s="5">
        <v>1</v>
      </c>
      <c r="C10" s="5">
        <v>1</v>
      </c>
      <c r="D10" s="5">
        <v>0</v>
      </c>
      <c r="E10" s="7">
        <v>2</v>
      </c>
      <c r="F10" s="5">
        <v>0</v>
      </c>
      <c r="G10" s="5">
        <v>1</v>
      </c>
      <c r="H10" s="5">
        <v>1</v>
      </c>
      <c r="I10" s="3">
        <f t="shared" si="0"/>
        <v>6</v>
      </c>
      <c r="K10" s="3" t="s">
        <v>29</v>
      </c>
      <c r="L10" s="5">
        <v>3</v>
      </c>
      <c r="M10" s="5">
        <v>2</v>
      </c>
      <c r="N10" s="5">
        <v>1</v>
      </c>
      <c r="O10" s="24">
        <v>0</v>
      </c>
      <c r="P10" s="24">
        <v>1</v>
      </c>
      <c r="Q10" s="5">
        <v>2</v>
      </c>
      <c r="R10" s="5">
        <v>3</v>
      </c>
      <c r="T10" s="3" t="s">
        <v>29</v>
      </c>
      <c r="U10" s="5">
        <f>B10</f>
        <v>1</v>
      </c>
      <c r="V10" s="5">
        <f>C10</f>
        <v>1</v>
      </c>
      <c r="W10" s="5">
        <f>D10</f>
        <v>0</v>
      </c>
      <c r="X10" s="7">
        <f>E10</f>
        <v>2</v>
      </c>
      <c r="Y10" s="5">
        <f>F10</f>
        <v>0</v>
      </c>
      <c r="Z10" s="5">
        <f t="shared" si="1"/>
        <v>1</v>
      </c>
      <c r="AA10" s="5">
        <f t="shared" si="1"/>
        <v>1</v>
      </c>
      <c r="AB10" s="3">
        <f t="shared" si="2"/>
        <v>6</v>
      </c>
      <c r="AD10" s="3" t="s">
        <v>29</v>
      </c>
      <c r="AE10" s="5">
        <v>1</v>
      </c>
      <c r="AF10" s="5">
        <v>1</v>
      </c>
      <c r="AG10" s="5">
        <v>1</v>
      </c>
      <c r="AH10" s="5">
        <v>0</v>
      </c>
      <c r="AI10" s="5">
        <v>1</v>
      </c>
      <c r="AJ10" s="5">
        <v>1</v>
      </c>
      <c r="AK10" s="5">
        <v>1</v>
      </c>
    </row>
    <row r="11" spans="1:37" x14ac:dyDescent="0.3">
      <c r="A11" s="3" t="s">
        <v>32</v>
      </c>
      <c r="B11" s="5">
        <v>0</v>
      </c>
      <c r="C11" s="5">
        <v>0</v>
      </c>
      <c r="D11" s="5">
        <v>2</v>
      </c>
      <c r="E11" s="5">
        <v>1</v>
      </c>
      <c r="F11" s="7">
        <v>1</v>
      </c>
      <c r="G11" s="5">
        <v>1</v>
      </c>
      <c r="H11" s="5">
        <v>0</v>
      </c>
      <c r="I11" s="3">
        <f t="shared" si="0"/>
        <v>5</v>
      </c>
      <c r="K11" s="3" t="s">
        <v>32</v>
      </c>
      <c r="L11" s="5">
        <v>4</v>
      </c>
      <c r="M11" s="5">
        <v>3</v>
      </c>
      <c r="N11" s="5">
        <v>2</v>
      </c>
      <c r="O11" s="5">
        <v>1</v>
      </c>
      <c r="P11" s="24">
        <v>0</v>
      </c>
      <c r="Q11" s="5">
        <v>1</v>
      </c>
      <c r="R11" s="5">
        <v>2</v>
      </c>
      <c r="T11" s="3" t="s">
        <v>32</v>
      </c>
      <c r="U11" s="5">
        <f>B11</f>
        <v>0</v>
      </c>
      <c r="V11" s="5">
        <f>C11</f>
        <v>0</v>
      </c>
      <c r="W11" s="5">
        <f>D11</f>
        <v>2</v>
      </c>
      <c r="X11" s="5">
        <f>E11</f>
        <v>1</v>
      </c>
      <c r="Y11" s="7">
        <f>F11</f>
        <v>1</v>
      </c>
      <c r="Z11" s="5">
        <f t="shared" si="1"/>
        <v>1</v>
      </c>
      <c r="AA11" s="5">
        <f t="shared" si="1"/>
        <v>0</v>
      </c>
      <c r="AB11" s="3">
        <f t="shared" si="2"/>
        <v>5</v>
      </c>
      <c r="AD11" s="3" t="s">
        <v>32</v>
      </c>
      <c r="AE11" s="5">
        <v>1</v>
      </c>
      <c r="AF11" s="5">
        <v>1</v>
      </c>
      <c r="AG11" s="5">
        <v>1</v>
      </c>
      <c r="AH11" s="5">
        <v>1</v>
      </c>
      <c r="AI11" s="5">
        <v>0</v>
      </c>
      <c r="AJ11" s="5">
        <v>1</v>
      </c>
      <c r="AK11" s="5">
        <v>1</v>
      </c>
    </row>
    <row r="12" spans="1:37" x14ac:dyDescent="0.3">
      <c r="A12" s="3" t="s">
        <v>33</v>
      </c>
      <c r="B12" s="5">
        <v>0</v>
      </c>
      <c r="C12" s="5">
        <v>1</v>
      </c>
      <c r="D12" s="5">
        <v>0</v>
      </c>
      <c r="E12" s="5">
        <v>2</v>
      </c>
      <c r="F12" s="5">
        <v>0</v>
      </c>
      <c r="G12" s="7">
        <v>1</v>
      </c>
      <c r="H12" s="5">
        <v>0</v>
      </c>
      <c r="I12" s="3">
        <f t="shared" si="0"/>
        <v>4</v>
      </c>
      <c r="K12" s="25" t="s">
        <v>33</v>
      </c>
      <c r="L12" s="26">
        <v>5</v>
      </c>
      <c r="M12" s="26">
        <v>4</v>
      </c>
      <c r="N12" s="26">
        <v>3</v>
      </c>
      <c r="O12" s="26">
        <v>2</v>
      </c>
      <c r="P12" s="26">
        <v>1</v>
      </c>
      <c r="Q12" s="26">
        <v>0</v>
      </c>
      <c r="R12" s="5">
        <v>1</v>
      </c>
      <c r="T12" s="3" t="s">
        <v>33</v>
      </c>
      <c r="U12" s="5">
        <f>B12</f>
        <v>0</v>
      </c>
      <c r="V12" s="5">
        <f>C12</f>
        <v>1</v>
      </c>
      <c r="W12" s="5">
        <f>D12</f>
        <v>0</v>
      </c>
      <c r="X12" s="5">
        <f>E12</f>
        <v>2</v>
      </c>
      <c r="Y12" s="5">
        <f>F12</f>
        <v>0</v>
      </c>
      <c r="Z12" s="7">
        <f t="shared" si="1"/>
        <v>1</v>
      </c>
      <c r="AA12" s="5">
        <f t="shared" si="1"/>
        <v>0</v>
      </c>
      <c r="AB12" s="3">
        <f t="shared" si="2"/>
        <v>4</v>
      </c>
      <c r="AD12" s="25" t="s">
        <v>33</v>
      </c>
      <c r="AE12" s="26">
        <v>1</v>
      </c>
      <c r="AF12" s="26">
        <v>1</v>
      </c>
      <c r="AG12" s="26">
        <v>1</v>
      </c>
      <c r="AH12" s="26">
        <v>1</v>
      </c>
      <c r="AI12" s="26">
        <v>1</v>
      </c>
      <c r="AJ12" s="26">
        <v>0</v>
      </c>
      <c r="AK12" s="5">
        <v>1</v>
      </c>
    </row>
    <row r="13" spans="1:37" x14ac:dyDescent="0.3">
      <c r="A13" s="3" t="s">
        <v>34</v>
      </c>
      <c r="B13" s="5">
        <v>0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7">
        <v>1</v>
      </c>
      <c r="I13" s="3">
        <f t="shared" si="0"/>
        <v>4</v>
      </c>
      <c r="K13" s="3" t="s">
        <v>34</v>
      </c>
      <c r="L13" s="5">
        <v>6</v>
      </c>
      <c r="M13" s="5">
        <v>5</v>
      </c>
      <c r="N13" s="5">
        <v>4</v>
      </c>
      <c r="O13" s="5">
        <v>3</v>
      </c>
      <c r="P13" s="5">
        <v>2</v>
      </c>
      <c r="Q13" s="5">
        <v>1</v>
      </c>
      <c r="R13" s="5">
        <v>0</v>
      </c>
      <c r="T13" s="3" t="s">
        <v>34</v>
      </c>
      <c r="U13" s="5">
        <f>B13</f>
        <v>0</v>
      </c>
      <c r="V13" s="5">
        <f t="shared" ref="V13:Y13" si="3">C13</f>
        <v>1</v>
      </c>
      <c r="W13" s="5">
        <f t="shared" si="3"/>
        <v>0</v>
      </c>
      <c r="X13" s="5">
        <f t="shared" si="3"/>
        <v>1</v>
      </c>
      <c r="Y13" s="5">
        <f t="shared" si="3"/>
        <v>1</v>
      </c>
      <c r="Z13" s="5">
        <f t="shared" si="1"/>
        <v>0</v>
      </c>
      <c r="AA13" s="7">
        <f t="shared" si="1"/>
        <v>1</v>
      </c>
      <c r="AB13" s="3">
        <f t="shared" si="2"/>
        <v>4</v>
      </c>
      <c r="AD13" s="3" t="s">
        <v>34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0</v>
      </c>
    </row>
    <row r="14" spans="1:37" x14ac:dyDescent="0.3">
      <c r="A14" s="3" t="s">
        <v>6</v>
      </c>
      <c r="B14" s="3">
        <f>SUM(B7:B13)</f>
        <v>17</v>
      </c>
      <c r="C14" s="3">
        <f t="shared" ref="C14:H14" si="4">SUM(C7:C13)</f>
        <v>8</v>
      </c>
      <c r="D14" s="3">
        <f t="shared" si="4"/>
        <v>5</v>
      </c>
      <c r="E14" s="3">
        <f t="shared" si="4"/>
        <v>9</v>
      </c>
      <c r="F14" s="3">
        <f t="shared" si="4"/>
        <v>4</v>
      </c>
      <c r="G14" s="3">
        <f t="shared" si="4"/>
        <v>4</v>
      </c>
      <c r="H14" s="3">
        <f t="shared" si="4"/>
        <v>3</v>
      </c>
      <c r="I14" s="3">
        <f>SUM(B7:H13)</f>
        <v>50</v>
      </c>
      <c r="K14" s="8"/>
      <c r="L14" s="8"/>
      <c r="M14" s="8"/>
      <c r="N14" s="8"/>
      <c r="O14" s="9"/>
      <c r="P14" s="9"/>
      <c r="Q14" s="9"/>
      <c r="R14" s="9"/>
      <c r="T14" s="3" t="s">
        <v>6</v>
      </c>
      <c r="U14" s="3">
        <f>SUM(U7:U13)</f>
        <v>17</v>
      </c>
      <c r="V14" s="3">
        <f t="shared" ref="V14:AA14" si="5">SUM(V7:V13)</f>
        <v>8</v>
      </c>
      <c r="W14" s="3">
        <f t="shared" si="5"/>
        <v>5</v>
      </c>
      <c r="X14" s="3">
        <f t="shared" si="5"/>
        <v>9</v>
      </c>
      <c r="Y14" s="3">
        <f t="shared" si="5"/>
        <v>4</v>
      </c>
      <c r="Z14" s="3">
        <f t="shared" si="5"/>
        <v>4</v>
      </c>
      <c r="AA14" s="3">
        <f t="shared" si="5"/>
        <v>3</v>
      </c>
      <c r="AB14" s="3">
        <f>SUM(U7:AA13)</f>
        <v>50</v>
      </c>
      <c r="AE14" s="8"/>
      <c r="AF14" s="8"/>
      <c r="AG14" s="8"/>
      <c r="AH14" s="8"/>
      <c r="AI14" s="8"/>
      <c r="AJ14" s="8"/>
    </row>
    <row r="15" spans="1:37" x14ac:dyDescent="0.3">
      <c r="K15" s="8"/>
      <c r="L15" s="8"/>
      <c r="M15" s="8"/>
      <c r="N15" s="8"/>
      <c r="O15" s="8"/>
      <c r="P15" s="8"/>
      <c r="Q15" s="8"/>
      <c r="R15" s="8"/>
    </row>
    <row r="16" spans="1:37" x14ac:dyDescent="0.3">
      <c r="A16" s="2" t="s">
        <v>22</v>
      </c>
      <c r="B16"/>
      <c r="T16" s="2" t="s">
        <v>22</v>
      </c>
      <c r="U16"/>
    </row>
    <row r="18" spans="1:34" x14ac:dyDescent="0.3">
      <c r="A18" s="3"/>
      <c r="B18" s="3"/>
      <c r="C18" s="3" t="s">
        <v>1</v>
      </c>
      <c r="D18" s="3"/>
      <c r="E18" s="3"/>
      <c r="F18" s="3"/>
      <c r="G18" s="3"/>
      <c r="H18" s="3"/>
      <c r="I18" s="3"/>
      <c r="T18" s="3"/>
      <c r="U18" s="3"/>
      <c r="V18" s="3" t="s">
        <v>1</v>
      </c>
      <c r="W18" s="3"/>
      <c r="X18" s="3"/>
      <c r="Y18" s="3"/>
      <c r="Z18" s="3"/>
      <c r="AA18" s="3"/>
      <c r="AB18" s="3"/>
    </row>
    <row r="19" spans="1:34" x14ac:dyDescent="0.3">
      <c r="A19" s="3" t="s">
        <v>2</v>
      </c>
      <c r="B19" s="3" t="s">
        <v>3</v>
      </c>
      <c r="C19" s="3" t="s">
        <v>4</v>
      </c>
      <c r="D19" s="3" t="s">
        <v>5</v>
      </c>
      <c r="E19" s="3" t="s">
        <v>29</v>
      </c>
      <c r="F19" s="3" t="s">
        <v>32</v>
      </c>
      <c r="G19" s="3" t="s">
        <v>33</v>
      </c>
      <c r="H19" s="3" t="s">
        <v>34</v>
      </c>
      <c r="I19" s="3" t="s">
        <v>6</v>
      </c>
      <c r="K19" s="2" t="s">
        <v>9</v>
      </c>
      <c r="L19" s="2">
        <f>1-(O19/O20)</f>
        <v>0.40432551319648069</v>
      </c>
      <c r="N19" s="11" t="s">
        <v>19</v>
      </c>
      <c r="O19" s="2">
        <f>SUMPRODUCT(B7:H13,L7:R13)</f>
        <v>65</v>
      </c>
      <c r="P19" s="2"/>
      <c r="Q19" s="2"/>
      <c r="R19" s="2"/>
      <c r="T19" s="3" t="s">
        <v>2</v>
      </c>
      <c r="U19" s="3" t="s">
        <v>3</v>
      </c>
      <c r="V19" s="3" t="s">
        <v>4</v>
      </c>
      <c r="W19" s="3" t="s">
        <v>5</v>
      </c>
      <c r="X19" s="3" t="s">
        <v>29</v>
      </c>
      <c r="Y19" s="3" t="s">
        <v>32</v>
      </c>
      <c r="Z19" s="3" t="s">
        <v>33</v>
      </c>
      <c r="AA19" s="3" t="s">
        <v>34</v>
      </c>
      <c r="AB19" s="3" t="s">
        <v>6</v>
      </c>
      <c r="AD19" s="2" t="s">
        <v>9</v>
      </c>
      <c r="AE19" s="2">
        <f>1-(AH19/AH20)</f>
        <v>0.29894842263395094</v>
      </c>
      <c r="AG19" s="11" t="s">
        <v>19</v>
      </c>
      <c r="AH19" s="2">
        <f>SUMPRODUCT(U7:AA13,AE7:AK13)</f>
        <v>28</v>
      </c>
    </row>
    <row r="20" spans="1:34" x14ac:dyDescent="0.3">
      <c r="A20" s="3" t="s">
        <v>3</v>
      </c>
      <c r="B20" s="7">
        <f>B$14*$I7/$I$14</f>
        <v>6.12</v>
      </c>
      <c r="C20" s="5">
        <f>C$14*$I7/$I$14</f>
        <v>2.88</v>
      </c>
      <c r="D20" s="5">
        <f>D$14*$I7/$I$14</f>
        <v>1.8</v>
      </c>
      <c r="E20" s="5">
        <f>E$14*$I7/$I$14</f>
        <v>3.24</v>
      </c>
      <c r="F20" s="5">
        <f>F$14*$I7/$I$14</f>
        <v>1.44</v>
      </c>
      <c r="G20" s="5">
        <f>G$14*$I7/$I$14</f>
        <v>1.44</v>
      </c>
      <c r="H20" s="5">
        <f>H$14*$I7/$I$14</f>
        <v>1.08</v>
      </c>
      <c r="I20" s="3">
        <f>SUM(B20:H20)</f>
        <v>18</v>
      </c>
      <c r="N20" s="11" t="s">
        <v>20</v>
      </c>
      <c r="O20" s="2">
        <f>SUMPRODUCT(B20:H26,L7:R13)</f>
        <v>109.11999999999996</v>
      </c>
      <c r="P20" s="2"/>
      <c r="Q20" s="2"/>
      <c r="R20" s="2"/>
      <c r="T20" s="3" t="s">
        <v>3</v>
      </c>
      <c r="U20" s="7">
        <f>U$14*$I7/$I$14</f>
        <v>6.12</v>
      </c>
      <c r="V20" s="5">
        <f>V$14*$I7/$I$14</f>
        <v>2.88</v>
      </c>
      <c r="W20" s="5">
        <f>W$14*$I7/$I$14</f>
        <v>1.8</v>
      </c>
      <c r="X20" s="5">
        <f>X$14*$I7/$I$14</f>
        <v>3.24</v>
      </c>
      <c r="Y20" s="5">
        <f>Y$14*$I7/$I$14</f>
        <v>1.44</v>
      </c>
      <c r="Z20" s="5">
        <f>Z$14*$I7/$I$14</f>
        <v>1.44</v>
      </c>
      <c r="AA20" s="5">
        <f>AA$14*$I7/$I$14</f>
        <v>1.08</v>
      </c>
      <c r="AB20" s="3">
        <f>SUM(U20:AA20)</f>
        <v>18</v>
      </c>
      <c r="AG20" s="11" t="s">
        <v>20</v>
      </c>
      <c r="AH20" s="2">
        <f>SUMPRODUCT(U20:AA26,AE7:AK13)</f>
        <v>39.94</v>
      </c>
    </row>
    <row r="21" spans="1:34" x14ac:dyDescent="0.3">
      <c r="A21" s="3" t="s">
        <v>4</v>
      </c>
      <c r="B21" s="5">
        <f>B$14*$I8/$I$14</f>
        <v>3.4</v>
      </c>
      <c r="C21" s="7">
        <f>C$14*$I8/$I$14</f>
        <v>1.6</v>
      </c>
      <c r="D21" s="5">
        <f>D$14*$I8/$I$14</f>
        <v>1</v>
      </c>
      <c r="E21" s="5">
        <f>E$14*$I8/$I$14</f>
        <v>1.8</v>
      </c>
      <c r="F21" s="5">
        <f>F$14*$I8/$I$14</f>
        <v>0.8</v>
      </c>
      <c r="G21" s="5">
        <f>G$14*$I8/$I$14</f>
        <v>0.8</v>
      </c>
      <c r="H21" s="5">
        <f t="shared" ref="H21:H26" si="6">H$14*$I8/$I$14</f>
        <v>0.6</v>
      </c>
      <c r="I21" s="3">
        <f t="shared" ref="I21:I26" si="7">SUM(B21:H21)</f>
        <v>10</v>
      </c>
      <c r="K21"/>
      <c r="T21" s="3" t="s">
        <v>4</v>
      </c>
      <c r="U21" s="5">
        <f>U$14*$I8/$I$14</f>
        <v>3.4</v>
      </c>
      <c r="V21" s="7">
        <f>V$14*$I8/$I$14</f>
        <v>1.6</v>
      </c>
      <c r="W21" s="5">
        <f>W$14*$I8/$I$14</f>
        <v>1</v>
      </c>
      <c r="X21" s="5">
        <f>X$14*$I8/$I$14</f>
        <v>1.8</v>
      </c>
      <c r="Y21" s="5">
        <f>Y$14*$I8/$I$14</f>
        <v>0.8</v>
      </c>
      <c r="Z21" s="5">
        <f>Z$14*$I8/$I$14</f>
        <v>0.8</v>
      </c>
      <c r="AA21" s="5">
        <f t="shared" ref="AA21:AA26" si="8">AA$14*$I8/$I$14</f>
        <v>0.6</v>
      </c>
      <c r="AB21" s="3">
        <f t="shared" ref="AB21:AB26" si="9">SUM(U21:AA21)</f>
        <v>10</v>
      </c>
    </row>
    <row r="22" spans="1:34" x14ac:dyDescent="0.3">
      <c r="A22" s="3" t="s">
        <v>5</v>
      </c>
      <c r="B22" s="5">
        <f>B$14*$I9/$I$14</f>
        <v>1.02</v>
      </c>
      <c r="C22" s="5">
        <f>C$14*$I9/$I$14</f>
        <v>0.48</v>
      </c>
      <c r="D22" s="7">
        <f>D$14*$I9/$I$14</f>
        <v>0.3</v>
      </c>
      <c r="E22" s="5">
        <f>E$14*$I9/$I$14</f>
        <v>0.54</v>
      </c>
      <c r="F22" s="5">
        <f>F$14*$I9/$I$14</f>
        <v>0.24</v>
      </c>
      <c r="G22" s="5">
        <f>G$14*$I9/$I$14</f>
        <v>0.24</v>
      </c>
      <c r="H22" s="5">
        <f t="shared" si="6"/>
        <v>0.18</v>
      </c>
      <c r="I22" s="3">
        <f t="shared" si="7"/>
        <v>3.0000000000000004</v>
      </c>
      <c r="N22" s="11" t="s">
        <v>23</v>
      </c>
      <c r="O22" s="1">
        <f>1-(O19/O20)</f>
        <v>0.40432551319648069</v>
      </c>
      <c r="T22" s="3" t="s">
        <v>5</v>
      </c>
      <c r="U22" s="5">
        <f>U$14*$I9/$I$14</f>
        <v>1.02</v>
      </c>
      <c r="V22" s="5">
        <f>V$14*$I9/$I$14</f>
        <v>0.48</v>
      </c>
      <c r="W22" s="7">
        <f>W$14*$I9/$I$14</f>
        <v>0.3</v>
      </c>
      <c r="X22" s="5">
        <f>X$14*$I9/$I$14</f>
        <v>0.54</v>
      </c>
      <c r="Y22" s="5">
        <f>Y$14*$I9/$I$14</f>
        <v>0.24</v>
      </c>
      <c r="Z22" s="5">
        <f>Z$14*$I9/$I$14</f>
        <v>0.24</v>
      </c>
      <c r="AA22" s="5">
        <f t="shared" si="8"/>
        <v>0.18</v>
      </c>
      <c r="AB22" s="3">
        <f t="shared" si="9"/>
        <v>3.0000000000000004</v>
      </c>
      <c r="AG22" s="11" t="s">
        <v>23</v>
      </c>
      <c r="AH22" s="1">
        <f>1-(AH19/AH20)</f>
        <v>0.29894842263395094</v>
      </c>
    </row>
    <row r="23" spans="1:34" x14ac:dyDescent="0.3">
      <c r="A23" s="3" t="s">
        <v>29</v>
      </c>
      <c r="B23" s="5">
        <f>B$14*$I10/$I$14</f>
        <v>2.04</v>
      </c>
      <c r="C23" s="5">
        <f>C$14*$I10/$I$14</f>
        <v>0.96</v>
      </c>
      <c r="D23" s="5">
        <f>D$14*$I10/$I$14</f>
        <v>0.6</v>
      </c>
      <c r="E23" s="7">
        <f>E$14*$I10/$I$14</f>
        <v>1.08</v>
      </c>
      <c r="F23" s="5">
        <f>F$14*$I10/$I$14</f>
        <v>0.48</v>
      </c>
      <c r="G23" s="5">
        <f>G$14*$I10/$I$14</f>
        <v>0.48</v>
      </c>
      <c r="H23" s="5">
        <f t="shared" si="6"/>
        <v>0.36</v>
      </c>
      <c r="I23" s="3">
        <f t="shared" si="7"/>
        <v>6.0000000000000009</v>
      </c>
      <c r="N23" s="11"/>
      <c r="T23" s="3" t="s">
        <v>29</v>
      </c>
      <c r="U23" s="5">
        <f>U$14*$I10/$I$14</f>
        <v>2.04</v>
      </c>
      <c r="V23" s="5">
        <f>V$14*$I10/$I$14</f>
        <v>0.96</v>
      </c>
      <c r="W23" s="5">
        <f>W$14*$I10/$I$14</f>
        <v>0.6</v>
      </c>
      <c r="X23" s="7">
        <f>X$14*$I10/$I$14</f>
        <v>1.08</v>
      </c>
      <c r="Y23" s="5">
        <f>Y$14*$I10/$I$14</f>
        <v>0.48</v>
      </c>
      <c r="Z23" s="5">
        <f>Z$14*$I10/$I$14</f>
        <v>0.48</v>
      </c>
      <c r="AA23" s="5">
        <f t="shared" si="8"/>
        <v>0.36</v>
      </c>
      <c r="AB23" s="3">
        <f t="shared" si="9"/>
        <v>6.0000000000000009</v>
      </c>
      <c r="AG23" s="11"/>
    </row>
    <row r="24" spans="1:34" x14ac:dyDescent="0.3">
      <c r="A24" s="3" t="s">
        <v>32</v>
      </c>
      <c r="B24" s="5">
        <f>B$14*$I11/$I$14</f>
        <v>1.7</v>
      </c>
      <c r="C24" s="5">
        <f>C$14*$I11/$I$14</f>
        <v>0.8</v>
      </c>
      <c r="D24" s="5">
        <f>D$14*$I11/$I$14</f>
        <v>0.5</v>
      </c>
      <c r="E24" s="5">
        <f>E$14*$I11/$I$14</f>
        <v>0.9</v>
      </c>
      <c r="F24" s="7">
        <f>F$14*$I11/$I$14</f>
        <v>0.4</v>
      </c>
      <c r="G24" s="5">
        <f>G$14*$I11/$I$14</f>
        <v>0.4</v>
      </c>
      <c r="H24" s="5">
        <f t="shared" si="6"/>
        <v>0.3</v>
      </c>
      <c r="I24" s="3">
        <f t="shared" si="7"/>
        <v>5</v>
      </c>
      <c r="N24" s="11"/>
      <c r="T24" s="3" t="s">
        <v>32</v>
      </c>
      <c r="U24" s="5">
        <f>U$14*$I11/$I$14</f>
        <v>1.7</v>
      </c>
      <c r="V24" s="5">
        <f>V$14*$I11/$I$14</f>
        <v>0.8</v>
      </c>
      <c r="W24" s="5">
        <f>W$14*$I11/$I$14</f>
        <v>0.5</v>
      </c>
      <c r="X24" s="5">
        <f>X$14*$I11/$I$14</f>
        <v>0.9</v>
      </c>
      <c r="Y24" s="7">
        <f>Y$14*$I11/$I$14</f>
        <v>0.4</v>
      </c>
      <c r="Z24" s="5">
        <f>Z$14*$I11/$I$14</f>
        <v>0.4</v>
      </c>
      <c r="AA24" s="5">
        <f t="shared" si="8"/>
        <v>0.3</v>
      </c>
      <c r="AB24" s="3">
        <f t="shared" si="9"/>
        <v>5</v>
      </c>
      <c r="AG24" s="11"/>
    </row>
    <row r="25" spans="1:34" x14ac:dyDescent="0.3">
      <c r="A25" s="3" t="s">
        <v>33</v>
      </c>
      <c r="B25" s="5">
        <f>B$14*$I12/$I$14</f>
        <v>1.36</v>
      </c>
      <c r="C25" s="5">
        <f>C$14*$I12/$I$14</f>
        <v>0.64</v>
      </c>
      <c r="D25" s="5">
        <f>D$14*$I12/$I$14</f>
        <v>0.4</v>
      </c>
      <c r="E25" s="5">
        <f>E$14*$I12/$I$14</f>
        <v>0.72</v>
      </c>
      <c r="F25" s="5">
        <f>F$14*$I12/$I$14</f>
        <v>0.32</v>
      </c>
      <c r="G25" s="7">
        <f>G$14*$I12/$I$14</f>
        <v>0.32</v>
      </c>
      <c r="H25" s="5">
        <f t="shared" si="6"/>
        <v>0.24</v>
      </c>
      <c r="I25" s="3">
        <f t="shared" si="7"/>
        <v>4</v>
      </c>
      <c r="N25" s="11"/>
      <c r="T25" s="3" t="s">
        <v>33</v>
      </c>
      <c r="U25" s="5">
        <f>U$14*$I12/$I$14</f>
        <v>1.36</v>
      </c>
      <c r="V25" s="5">
        <f t="shared" ref="V25:Z26" si="10">V$14*$I12/$I$14</f>
        <v>0.64</v>
      </c>
      <c r="W25" s="5">
        <f t="shared" si="10"/>
        <v>0.4</v>
      </c>
      <c r="X25" s="5">
        <f t="shared" si="10"/>
        <v>0.72</v>
      </c>
      <c r="Y25" s="5">
        <f t="shared" si="10"/>
        <v>0.32</v>
      </c>
      <c r="Z25" s="7">
        <f>Z$14*$I12/$I$14</f>
        <v>0.32</v>
      </c>
      <c r="AA25" s="5">
        <f t="shared" si="8"/>
        <v>0.24</v>
      </c>
      <c r="AB25" s="3">
        <f t="shared" si="9"/>
        <v>4</v>
      </c>
      <c r="AG25" s="11"/>
    </row>
    <row r="26" spans="1:34" x14ac:dyDescent="0.3">
      <c r="A26" s="3" t="s">
        <v>34</v>
      </c>
      <c r="B26" s="5">
        <f>B$14*$I13/$I$14</f>
        <v>1.36</v>
      </c>
      <c r="C26" s="5">
        <f t="shared" ref="C26:G26" si="11">C$14*$I13/$I$14</f>
        <v>0.64</v>
      </c>
      <c r="D26" s="5">
        <f t="shared" si="11"/>
        <v>0.4</v>
      </c>
      <c r="E26" s="5">
        <f t="shared" si="11"/>
        <v>0.72</v>
      </c>
      <c r="F26" s="5">
        <f t="shared" si="11"/>
        <v>0.32</v>
      </c>
      <c r="G26" s="5">
        <f t="shared" si="11"/>
        <v>0.32</v>
      </c>
      <c r="H26" s="7">
        <f t="shared" si="6"/>
        <v>0.24</v>
      </c>
      <c r="I26" s="3">
        <f t="shared" si="7"/>
        <v>4</v>
      </c>
      <c r="N26" s="11"/>
      <c r="T26" s="3" t="s">
        <v>34</v>
      </c>
      <c r="U26" s="5">
        <f>U$14*$I13/$I$14</f>
        <v>1.36</v>
      </c>
      <c r="V26" s="5">
        <f t="shared" si="10"/>
        <v>0.64</v>
      </c>
      <c r="W26" s="5">
        <f t="shared" si="10"/>
        <v>0.4</v>
      </c>
      <c r="X26" s="5">
        <f t="shared" si="10"/>
        <v>0.72</v>
      </c>
      <c r="Y26" s="5">
        <f t="shared" si="10"/>
        <v>0.32</v>
      </c>
      <c r="Z26" s="5">
        <f t="shared" si="10"/>
        <v>0.32</v>
      </c>
      <c r="AA26" s="7">
        <f t="shared" si="8"/>
        <v>0.24</v>
      </c>
      <c r="AB26" s="3">
        <f t="shared" si="9"/>
        <v>4</v>
      </c>
      <c r="AG26" s="11"/>
    </row>
    <row r="27" spans="1:34" x14ac:dyDescent="0.3">
      <c r="A27" s="3" t="s">
        <v>6</v>
      </c>
      <c r="B27" s="3">
        <f>SUM(B20:B26)</f>
        <v>16.999999999999996</v>
      </c>
      <c r="C27" s="3">
        <f t="shared" ref="C27:H27" si="12">SUM(C20:C26)</f>
        <v>8</v>
      </c>
      <c r="D27" s="3">
        <f t="shared" si="12"/>
        <v>5</v>
      </c>
      <c r="E27" s="3">
        <f t="shared" si="12"/>
        <v>9.0000000000000018</v>
      </c>
      <c r="F27" s="3">
        <f t="shared" si="12"/>
        <v>4</v>
      </c>
      <c r="G27" s="3">
        <f t="shared" si="12"/>
        <v>4</v>
      </c>
      <c r="H27" s="3">
        <f t="shared" si="12"/>
        <v>3</v>
      </c>
      <c r="I27" s="3">
        <f>SUM(B20:H26)</f>
        <v>49.999999999999986</v>
      </c>
      <c r="K27"/>
      <c r="T27" s="3" t="s">
        <v>6</v>
      </c>
      <c r="U27" s="3">
        <f>SUM(U20:U26)</f>
        <v>16.999999999999996</v>
      </c>
      <c r="V27" s="3">
        <f t="shared" ref="V27:AA27" si="13">SUM(V20:V26)</f>
        <v>8</v>
      </c>
      <c r="W27" s="3">
        <f t="shared" si="13"/>
        <v>5</v>
      </c>
      <c r="X27" s="3">
        <f t="shared" si="13"/>
        <v>9.0000000000000018</v>
      </c>
      <c r="Y27" s="3">
        <f t="shared" si="13"/>
        <v>4</v>
      </c>
      <c r="Z27" s="3">
        <f t="shared" si="13"/>
        <v>4</v>
      </c>
      <c r="AA27" s="3">
        <f t="shared" si="13"/>
        <v>3</v>
      </c>
      <c r="AB27" s="3">
        <f>SUM(U20:AA26)</f>
        <v>49.999999999999986</v>
      </c>
    </row>
    <row r="28" spans="1:34" x14ac:dyDescent="0.3">
      <c r="M28"/>
    </row>
    <row r="31" spans="1:34" x14ac:dyDescent="0.3">
      <c r="T31"/>
    </row>
    <row r="32" spans="1:34" x14ac:dyDescent="0.3">
      <c r="T32"/>
    </row>
    <row r="35" spans="1:35" x14ac:dyDescent="0.3">
      <c r="A35" s="2" t="s">
        <v>21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3">
      <c r="K36" s="6" t="s">
        <v>17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20"/>
      <c r="AE36" s="9"/>
      <c r="AF36" s="9"/>
      <c r="AG36" s="9"/>
      <c r="AH36" s="9"/>
      <c r="AI36" s="9"/>
    </row>
    <row r="37" spans="1:35" x14ac:dyDescent="0.3">
      <c r="A37" s="3"/>
      <c r="B37" s="3"/>
      <c r="C37" s="3" t="s">
        <v>1</v>
      </c>
      <c r="D37" s="3"/>
      <c r="E37" s="3"/>
      <c r="F37" s="3"/>
      <c r="G37" s="3"/>
      <c r="H37" s="3"/>
      <c r="I37" s="3"/>
      <c r="K37" s="3"/>
      <c r="L37" s="3"/>
      <c r="M37" s="3" t="s">
        <v>14</v>
      </c>
      <c r="N37" s="23"/>
      <c r="O37" s="3"/>
      <c r="P37" s="23"/>
      <c r="Q37" s="3"/>
      <c r="R37" s="3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3">
      <c r="A38" s="3" t="s">
        <v>2</v>
      </c>
      <c r="B38" s="3" t="s">
        <v>3</v>
      </c>
      <c r="C38" s="3" t="s">
        <v>4</v>
      </c>
      <c r="D38" s="3" t="s">
        <v>5</v>
      </c>
      <c r="E38" s="3" t="s">
        <v>29</v>
      </c>
      <c r="F38" s="3" t="s">
        <v>32</v>
      </c>
      <c r="G38" s="3" t="s">
        <v>33</v>
      </c>
      <c r="H38" s="3" t="s">
        <v>34</v>
      </c>
      <c r="I38" s="3" t="s">
        <v>6</v>
      </c>
      <c r="K38" s="3"/>
      <c r="L38" s="3" t="s">
        <v>3</v>
      </c>
      <c r="M38" s="3" t="s">
        <v>4</v>
      </c>
      <c r="N38" s="23" t="s">
        <v>5</v>
      </c>
      <c r="O38" s="3" t="s">
        <v>29</v>
      </c>
      <c r="P38" s="23" t="s">
        <v>32</v>
      </c>
      <c r="Q38" s="3" t="s">
        <v>33</v>
      </c>
      <c r="R38" s="3" t="s">
        <v>34</v>
      </c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3">
      <c r="A39" s="3" t="s">
        <v>3</v>
      </c>
      <c r="B39" s="7">
        <f>B7</f>
        <v>13</v>
      </c>
      <c r="C39" s="5">
        <f>C7</f>
        <v>2</v>
      </c>
      <c r="D39" s="5">
        <f>D7</f>
        <v>1</v>
      </c>
      <c r="E39" s="5">
        <f>E7</f>
        <v>1</v>
      </c>
      <c r="F39" s="5">
        <f>F7</f>
        <v>0</v>
      </c>
      <c r="G39" s="5">
        <f>G7</f>
        <v>1</v>
      </c>
      <c r="H39" s="5">
        <f>H7</f>
        <v>0</v>
      </c>
      <c r="I39" s="3">
        <f>SUM(B39:H39)</f>
        <v>18</v>
      </c>
      <c r="K39" s="3" t="s">
        <v>3</v>
      </c>
      <c r="L39" s="5">
        <v>0</v>
      </c>
      <c r="M39" s="5">
        <v>2.777E-2</v>
      </c>
      <c r="N39" s="5">
        <v>0.1111</v>
      </c>
      <c r="O39" s="5">
        <v>0.25</v>
      </c>
      <c r="P39" s="24">
        <v>0.44440000000000002</v>
      </c>
      <c r="Q39" s="5">
        <v>0.69440000000000002</v>
      </c>
      <c r="R39" s="5">
        <v>1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3">
      <c r="A40" s="3" t="s">
        <v>4</v>
      </c>
      <c r="B40" s="5">
        <f>B8</f>
        <v>2</v>
      </c>
      <c r="C40" s="7">
        <f>C8</f>
        <v>3</v>
      </c>
      <c r="D40" s="5">
        <f>D8</f>
        <v>1</v>
      </c>
      <c r="E40" s="5">
        <f>E8</f>
        <v>2</v>
      </c>
      <c r="F40" s="5">
        <f>F8</f>
        <v>1</v>
      </c>
      <c r="G40" s="5">
        <f>G8</f>
        <v>0</v>
      </c>
      <c r="H40" s="5">
        <f>H8</f>
        <v>1</v>
      </c>
      <c r="I40" s="3">
        <f t="shared" ref="I40:I45" si="14">SUM(B40:H40)</f>
        <v>10</v>
      </c>
      <c r="K40" s="3" t="s">
        <v>4</v>
      </c>
      <c r="L40" s="5">
        <v>2.7799999999999998E-2</v>
      </c>
      <c r="M40" s="5">
        <v>0</v>
      </c>
      <c r="N40" s="5">
        <v>2.7799999999999998E-2</v>
      </c>
      <c r="O40" s="5">
        <v>0.1111</v>
      </c>
      <c r="P40" s="5">
        <v>0.25</v>
      </c>
      <c r="Q40" s="5">
        <v>0.44440000000000002</v>
      </c>
      <c r="R40" s="5">
        <v>0.69440000000000002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x14ac:dyDescent="0.3">
      <c r="A41" s="3" t="s">
        <v>5</v>
      </c>
      <c r="B41" s="5">
        <f>B9</f>
        <v>1</v>
      </c>
      <c r="C41" s="5">
        <f>C9</f>
        <v>0</v>
      </c>
      <c r="D41" s="7">
        <f>D9</f>
        <v>1</v>
      </c>
      <c r="E41" s="5">
        <f>E9</f>
        <v>0</v>
      </c>
      <c r="F41" s="5">
        <f>F9</f>
        <v>1</v>
      </c>
      <c r="G41" s="5">
        <f>G9</f>
        <v>0</v>
      </c>
      <c r="H41" s="5">
        <f>H9</f>
        <v>0</v>
      </c>
      <c r="I41" s="3">
        <f t="shared" si="14"/>
        <v>3</v>
      </c>
      <c r="K41" s="3" t="s">
        <v>5</v>
      </c>
      <c r="L41" s="5">
        <v>0.1111</v>
      </c>
      <c r="M41" s="5">
        <v>2.7799999999999998E-2</v>
      </c>
      <c r="N41" s="5">
        <v>0</v>
      </c>
      <c r="O41" s="5">
        <v>2.7799999999999998E-2</v>
      </c>
      <c r="P41" s="5">
        <v>0.1111</v>
      </c>
      <c r="Q41" s="5">
        <v>0.25</v>
      </c>
      <c r="R41" s="5">
        <v>0.44440000000000002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x14ac:dyDescent="0.3">
      <c r="A42" s="3" t="s">
        <v>29</v>
      </c>
      <c r="B42" s="5">
        <f>B10</f>
        <v>1</v>
      </c>
      <c r="C42" s="5">
        <f>C10</f>
        <v>1</v>
      </c>
      <c r="D42" s="5">
        <f>D10</f>
        <v>0</v>
      </c>
      <c r="E42" s="7">
        <f>E10</f>
        <v>2</v>
      </c>
      <c r="F42" s="5">
        <f>F10</f>
        <v>0</v>
      </c>
      <c r="G42" s="5">
        <f>G10</f>
        <v>1</v>
      </c>
      <c r="H42" s="5">
        <f>H10</f>
        <v>1</v>
      </c>
      <c r="I42" s="3">
        <f t="shared" si="14"/>
        <v>6</v>
      </c>
      <c r="K42" s="25" t="s">
        <v>29</v>
      </c>
      <c r="L42" s="5">
        <v>0.25</v>
      </c>
      <c r="M42" s="5">
        <v>0.1111</v>
      </c>
      <c r="N42" s="5">
        <v>2.7799999999999998E-2</v>
      </c>
      <c r="O42" s="26">
        <v>0</v>
      </c>
      <c r="P42" s="5">
        <v>2.7799999999999998E-2</v>
      </c>
      <c r="Q42" s="5">
        <v>0.1111</v>
      </c>
      <c r="R42" s="5">
        <v>0.25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x14ac:dyDescent="0.3">
      <c r="A43" s="3" t="s">
        <v>32</v>
      </c>
      <c r="B43" s="5">
        <f>B11</f>
        <v>0</v>
      </c>
      <c r="C43" s="5">
        <f>C11</f>
        <v>0</v>
      </c>
      <c r="D43" s="5">
        <f>D11</f>
        <v>2</v>
      </c>
      <c r="E43" s="5">
        <f>E11</f>
        <v>1</v>
      </c>
      <c r="F43" s="7">
        <f>F11</f>
        <v>1</v>
      </c>
      <c r="G43" s="5">
        <f>G11</f>
        <v>1</v>
      </c>
      <c r="H43" s="5">
        <f>H11</f>
        <v>0</v>
      </c>
      <c r="I43" s="3">
        <f t="shared" si="14"/>
        <v>5</v>
      </c>
      <c r="K43" s="3" t="s">
        <v>32</v>
      </c>
      <c r="L43" s="5">
        <v>0.44440000000000002</v>
      </c>
      <c r="M43" s="5">
        <v>0.25</v>
      </c>
      <c r="N43" s="5">
        <v>0.1111</v>
      </c>
      <c r="O43" s="5">
        <v>2.7799999999999998E-2</v>
      </c>
      <c r="P43" s="24">
        <v>0</v>
      </c>
      <c r="Q43" s="5">
        <v>2.7799999999999998E-2</v>
      </c>
      <c r="R43" s="5">
        <v>0.1111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 spans="1:35" x14ac:dyDescent="0.3">
      <c r="A44" s="3" t="s">
        <v>33</v>
      </c>
      <c r="B44" s="5">
        <f>B12</f>
        <v>0</v>
      </c>
      <c r="C44" s="5">
        <f>C12</f>
        <v>1</v>
      </c>
      <c r="D44" s="5">
        <f>D12</f>
        <v>0</v>
      </c>
      <c r="E44" s="5">
        <f>E12</f>
        <v>2</v>
      </c>
      <c r="F44" s="5">
        <f>F12</f>
        <v>0</v>
      </c>
      <c r="G44" s="7">
        <f>G12</f>
        <v>1</v>
      </c>
      <c r="H44" s="5">
        <f>H12</f>
        <v>0</v>
      </c>
      <c r="I44" s="3">
        <f t="shared" si="14"/>
        <v>4</v>
      </c>
      <c r="K44" s="25" t="s">
        <v>33</v>
      </c>
      <c r="L44" s="5">
        <v>0.69440000000000002</v>
      </c>
      <c r="M44" s="5">
        <v>0.44440000000000002</v>
      </c>
      <c r="N44" s="5">
        <v>0.25</v>
      </c>
      <c r="O44" s="5">
        <v>0.1111</v>
      </c>
      <c r="P44" s="5">
        <v>2.7799999999999998E-2</v>
      </c>
      <c r="Q44" s="26">
        <v>0</v>
      </c>
      <c r="R44" s="5">
        <v>2.7799999999999998E-2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</row>
    <row r="45" spans="1:35" x14ac:dyDescent="0.3">
      <c r="A45" s="3" t="s">
        <v>34</v>
      </c>
      <c r="B45" s="5">
        <f>B13</f>
        <v>0</v>
      </c>
      <c r="C45" s="5">
        <f>C13</f>
        <v>1</v>
      </c>
      <c r="D45" s="5">
        <f>D13</f>
        <v>0</v>
      </c>
      <c r="E45" s="5">
        <f>E13</f>
        <v>1</v>
      </c>
      <c r="F45" s="5">
        <f>F13</f>
        <v>1</v>
      </c>
      <c r="G45" s="5">
        <f>G13</f>
        <v>0</v>
      </c>
      <c r="H45" s="7">
        <f>H13</f>
        <v>1</v>
      </c>
      <c r="I45" s="3">
        <f t="shared" si="14"/>
        <v>4</v>
      </c>
      <c r="K45" s="3" t="s">
        <v>34</v>
      </c>
      <c r="L45" s="5">
        <v>1</v>
      </c>
      <c r="M45" s="5">
        <v>0.69440000000000002</v>
      </c>
      <c r="N45" s="5">
        <v>0.44440000000000002</v>
      </c>
      <c r="O45" s="5">
        <v>0.25</v>
      </c>
      <c r="P45" s="5">
        <v>0.1111</v>
      </c>
      <c r="Q45" s="5">
        <v>2.7799999999999998E-2</v>
      </c>
      <c r="R45" s="5">
        <v>0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 spans="1:35" x14ac:dyDescent="0.3">
      <c r="A46" s="3" t="s">
        <v>6</v>
      </c>
      <c r="B46" s="3">
        <f>SUM(B39:B45)</f>
        <v>17</v>
      </c>
      <c r="C46" s="3">
        <f t="shared" ref="C46:H46" si="15">SUM(C39:C45)</f>
        <v>8</v>
      </c>
      <c r="D46" s="3">
        <f t="shared" si="15"/>
        <v>5</v>
      </c>
      <c r="E46" s="3">
        <f t="shared" si="15"/>
        <v>9</v>
      </c>
      <c r="F46" s="3">
        <f t="shared" si="15"/>
        <v>4</v>
      </c>
      <c r="G46" s="3">
        <f t="shared" si="15"/>
        <v>4</v>
      </c>
      <c r="H46" s="3">
        <f t="shared" si="15"/>
        <v>3</v>
      </c>
      <c r="I46" s="3">
        <f>SUM(B39:H45)</f>
        <v>50</v>
      </c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</row>
    <row r="47" spans="1:35" x14ac:dyDescent="0.3"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 spans="1:35" x14ac:dyDescent="0.3">
      <c r="A48" s="2" t="s">
        <v>22</v>
      </c>
      <c r="B48"/>
      <c r="S48" s="9"/>
      <c r="T48" s="9"/>
      <c r="U48" s="21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</row>
    <row r="49" spans="1:35" x14ac:dyDescent="0.3"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 spans="1:35" x14ac:dyDescent="0.3">
      <c r="A50" s="3"/>
      <c r="B50" s="3"/>
      <c r="C50" s="3" t="s">
        <v>1</v>
      </c>
      <c r="D50" s="3"/>
      <c r="E50" s="3"/>
      <c r="F50" s="3"/>
      <c r="G50" s="3"/>
      <c r="H50" s="3"/>
      <c r="I50" s="3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</row>
    <row r="51" spans="1:35" x14ac:dyDescent="0.3">
      <c r="A51" s="3" t="s">
        <v>2</v>
      </c>
      <c r="B51" s="3" t="s">
        <v>3</v>
      </c>
      <c r="C51" s="3" t="s">
        <v>4</v>
      </c>
      <c r="D51" s="3" t="s">
        <v>5</v>
      </c>
      <c r="E51" s="3" t="s">
        <v>29</v>
      </c>
      <c r="F51" s="3" t="s">
        <v>32</v>
      </c>
      <c r="G51" s="3" t="s">
        <v>33</v>
      </c>
      <c r="H51" s="3" t="s">
        <v>34</v>
      </c>
      <c r="I51" s="3" t="s">
        <v>6</v>
      </c>
      <c r="K51" s="2" t="s">
        <v>9</v>
      </c>
      <c r="L51" s="2">
        <f>1-(N51/N52)</f>
        <v>0.51390106221707965</v>
      </c>
      <c r="M51" s="11" t="s">
        <v>30</v>
      </c>
      <c r="N51" s="2">
        <f>SUMPRODUCT(B39:H45,L39:R45)</f>
        <v>5.3053400000000002</v>
      </c>
      <c r="O51" s="2"/>
      <c r="P51" s="2"/>
      <c r="Q51" s="2"/>
      <c r="R51" s="2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22"/>
      <c r="AE51" s="22"/>
      <c r="AF51" s="9"/>
      <c r="AG51" s="22"/>
      <c r="AH51" s="9"/>
      <c r="AI51" s="9"/>
    </row>
    <row r="52" spans="1:35" x14ac:dyDescent="0.3">
      <c r="A52" s="3" t="s">
        <v>3</v>
      </c>
      <c r="B52" s="7">
        <f>B$14*$I39/$I$14</f>
        <v>6.12</v>
      </c>
      <c r="C52" s="5">
        <f>C$14*$I39/$I$14</f>
        <v>2.88</v>
      </c>
      <c r="D52" s="5">
        <f>D$14*$I39/$I$14</f>
        <v>1.8</v>
      </c>
      <c r="E52" s="5">
        <f>E$14*$I39/$I$14</f>
        <v>3.24</v>
      </c>
      <c r="F52" s="5">
        <f>F$14*$I39/$I$14</f>
        <v>1.44</v>
      </c>
      <c r="G52" s="5">
        <f>G$14*$I39/$I$14</f>
        <v>1.44</v>
      </c>
      <c r="H52" s="5">
        <f>H$14*$I39/$I$14</f>
        <v>1.08</v>
      </c>
      <c r="I52" s="3">
        <f>SUM(B52:H52)</f>
        <v>18</v>
      </c>
      <c r="M52" s="11" t="s">
        <v>31</v>
      </c>
      <c r="N52" s="2">
        <f>SUMPRODUCT(B52:H58,L39:R45)</f>
        <v>10.914115599999999</v>
      </c>
      <c r="O52" s="2"/>
      <c r="P52" s="2"/>
      <c r="Q52" s="2"/>
      <c r="R52" s="2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22"/>
      <c r="AH52" s="9"/>
      <c r="AI52" s="9"/>
    </row>
    <row r="53" spans="1:35" x14ac:dyDescent="0.3">
      <c r="A53" s="3" t="s">
        <v>4</v>
      </c>
      <c r="B53" s="5">
        <f>B$14*$I40/$I$14</f>
        <v>3.4</v>
      </c>
      <c r="C53" s="7">
        <f>C$14*$I40/$I$14</f>
        <v>1.6</v>
      </c>
      <c r="D53" s="5">
        <f>D$14*$I40/$I$14</f>
        <v>1</v>
      </c>
      <c r="E53" s="5">
        <f>E$14*$I40/$I$14</f>
        <v>1.8</v>
      </c>
      <c r="F53" s="5">
        <f>F$14*$I40/$I$14</f>
        <v>0.8</v>
      </c>
      <c r="G53" s="5">
        <f>G$14*$I40/$I$14</f>
        <v>0.8</v>
      </c>
      <c r="H53" s="5">
        <f t="shared" ref="H53:H58" si="16">H$14*$I40/$I$14</f>
        <v>0.6</v>
      </c>
      <c r="I53" s="3">
        <f t="shared" ref="I53:I58" si="17">SUM(B53:H53)</f>
        <v>10</v>
      </c>
      <c r="K53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21"/>
      <c r="AE53" s="9"/>
      <c r="AF53" s="9"/>
      <c r="AG53" s="9"/>
      <c r="AH53" s="9"/>
      <c r="AI53" s="9"/>
    </row>
    <row r="54" spans="1:35" x14ac:dyDescent="0.3">
      <c r="A54" s="3" t="s">
        <v>5</v>
      </c>
      <c r="B54" s="5">
        <f>B$14*$I41/$I$14</f>
        <v>1.02</v>
      </c>
      <c r="C54" s="5">
        <f>C$14*$I41/$I$14</f>
        <v>0.48</v>
      </c>
      <c r="D54" s="7">
        <f>D$14*$I41/$I$14</f>
        <v>0.3</v>
      </c>
      <c r="E54" s="5">
        <f>E$14*$I41/$I$14</f>
        <v>0.54</v>
      </c>
      <c r="F54" s="5">
        <f>F$14*$I41/$I$14</f>
        <v>0.24</v>
      </c>
      <c r="G54" s="5">
        <f>G$14*$I41/$I$14</f>
        <v>0.24</v>
      </c>
      <c r="H54" s="5">
        <f t="shared" si="16"/>
        <v>0.18</v>
      </c>
      <c r="I54" s="3">
        <f t="shared" si="17"/>
        <v>3.0000000000000004</v>
      </c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</row>
    <row r="55" spans="1:35" x14ac:dyDescent="0.3">
      <c r="A55" s="3" t="s">
        <v>29</v>
      </c>
      <c r="B55" s="5">
        <f>B$14*$I42/$I$14</f>
        <v>2.04</v>
      </c>
      <c r="C55" s="5">
        <f>C$14*$I42/$I$14</f>
        <v>0.96</v>
      </c>
      <c r="D55" s="5">
        <f>D$14*$I42/$I$14</f>
        <v>0.6</v>
      </c>
      <c r="E55" s="7">
        <f>E$14*$I42/$I$14</f>
        <v>1.08</v>
      </c>
      <c r="F55" s="5">
        <f>F$14*$I42/$I$14</f>
        <v>0.48</v>
      </c>
      <c r="G55" s="5">
        <f>G$14*$I42/$I$14</f>
        <v>0.48</v>
      </c>
      <c r="H55" s="5">
        <f t="shared" si="16"/>
        <v>0.36</v>
      </c>
      <c r="I55" s="3">
        <f t="shared" si="17"/>
        <v>6.0000000000000009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 spans="1:35" x14ac:dyDescent="0.3">
      <c r="A56" s="3" t="s">
        <v>32</v>
      </c>
      <c r="B56" s="5">
        <f>B$14*$I43/$I$14</f>
        <v>1.7</v>
      </c>
      <c r="C56" s="5">
        <f>C$14*$I43/$I$14</f>
        <v>0.8</v>
      </c>
      <c r="D56" s="5">
        <f>D$14*$I43/$I$14</f>
        <v>0.5</v>
      </c>
      <c r="E56" s="5">
        <f>E$14*$I43/$I$14</f>
        <v>0.9</v>
      </c>
      <c r="F56" s="7">
        <f>F$14*$I43/$I$14</f>
        <v>0.4</v>
      </c>
      <c r="G56" s="5">
        <f>G$14*$I43/$I$14</f>
        <v>0.4</v>
      </c>
      <c r="H56" s="5">
        <f t="shared" si="16"/>
        <v>0.3</v>
      </c>
      <c r="I56" s="3">
        <f t="shared" si="17"/>
        <v>5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</row>
    <row r="57" spans="1:35" x14ac:dyDescent="0.3">
      <c r="A57" s="3" t="s">
        <v>33</v>
      </c>
      <c r="B57" s="5">
        <f>B$14*$I44/$I$14</f>
        <v>1.36</v>
      </c>
      <c r="C57" s="5">
        <f t="shared" ref="C57:G58" si="18">C$14*$I44/$I$14</f>
        <v>0.64</v>
      </c>
      <c r="D57" s="5">
        <f t="shared" si="18"/>
        <v>0.4</v>
      </c>
      <c r="E57" s="5">
        <f t="shared" si="18"/>
        <v>0.72</v>
      </c>
      <c r="F57" s="5">
        <f t="shared" si="18"/>
        <v>0.32</v>
      </c>
      <c r="G57" s="7">
        <f>G$14*$I44/$I$14</f>
        <v>0.32</v>
      </c>
      <c r="H57" s="5">
        <f t="shared" si="16"/>
        <v>0.24</v>
      </c>
      <c r="I57" s="3">
        <f t="shared" si="17"/>
        <v>4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 spans="1:35" x14ac:dyDescent="0.3">
      <c r="A58" s="3" t="s">
        <v>34</v>
      </c>
      <c r="B58" s="5">
        <f>B$14*$I45/$I$14</f>
        <v>1.36</v>
      </c>
      <c r="C58" s="5">
        <f t="shared" si="18"/>
        <v>0.64</v>
      </c>
      <c r="D58" s="5">
        <f t="shared" si="18"/>
        <v>0.4</v>
      </c>
      <c r="E58" s="5">
        <f t="shared" si="18"/>
        <v>0.72</v>
      </c>
      <c r="F58" s="5">
        <f t="shared" si="18"/>
        <v>0.32</v>
      </c>
      <c r="G58" s="5">
        <f t="shared" si="18"/>
        <v>0.32</v>
      </c>
      <c r="H58" s="7">
        <f t="shared" si="16"/>
        <v>0.24</v>
      </c>
      <c r="I58" s="3">
        <f t="shared" si="17"/>
        <v>4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</row>
    <row r="59" spans="1:35" x14ac:dyDescent="0.3">
      <c r="A59" s="3" t="s">
        <v>6</v>
      </c>
      <c r="B59" s="3">
        <f>SUM(B52:B58)</f>
        <v>16.999999999999996</v>
      </c>
      <c r="C59" s="3">
        <f t="shared" ref="C59:H59" si="19">SUM(C52:C58)</f>
        <v>8</v>
      </c>
      <c r="D59" s="3">
        <f t="shared" si="19"/>
        <v>5</v>
      </c>
      <c r="E59" s="3">
        <f t="shared" si="19"/>
        <v>9.0000000000000018</v>
      </c>
      <c r="F59" s="3">
        <f t="shared" si="19"/>
        <v>4</v>
      </c>
      <c r="G59" s="3">
        <f t="shared" si="19"/>
        <v>4</v>
      </c>
      <c r="H59" s="3">
        <f t="shared" si="19"/>
        <v>3</v>
      </c>
      <c r="I59" s="3">
        <f>SUM(B52:H58)</f>
        <v>49.999999999999986</v>
      </c>
      <c r="K5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21"/>
      <c r="AE59" s="9"/>
      <c r="AF59" s="9"/>
      <c r="AG59" s="9"/>
      <c r="AH59" s="9"/>
      <c r="AI59" s="9"/>
    </row>
    <row r="60" spans="1:35" x14ac:dyDescent="0.3"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</row>
    <row r="61" spans="1:35" x14ac:dyDescent="0.3"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AD12-167E-41E2-A9F0-1C58804E76D8}">
  <dimension ref="A1:V11"/>
  <sheetViews>
    <sheetView tabSelected="1" workbookViewId="0">
      <selection activeCell="G17" sqref="G17"/>
    </sheetView>
  </sheetViews>
  <sheetFormatPr defaultRowHeight="14.4" x14ac:dyDescent="0.3"/>
  <cols>
    <col min="6" max="6" width="4.44140625" customWidth="1"/>
    <col min="7" max="7" width="6.5546875" customWidth="1"/>
    <col min="8" max="8" width="6" customWidth="1"/>
    <col min="12" max="12" width="17.33203125" customWidth="1"/>
    <col min="13" max="13" width="7.6640625" bestFit="1" customWidth="1"/>
    <col min="14" max="14" width="9.88671875" bestFit="1" customWidth="1"/>
    <col min="15" max="15" width="7.44140625" bestFit="1" customWidth="1"/>
    <col min="16" max="16" width="9.88671875" bestFit="1" customWidth="1"/>
    <col min="17" max="17" width="7.6640625" bestFit="1" customWidth="1"/>
    <col min="18" max="18" width="9.88671875" bestFit="1" customWidth="1"/>
    <col min="19" max="19" width="7.6640625" bestFit="1" customWidth="1"/>
    <col min="20" max="20" width="9.88671875" bestFit="1" customWidth="1"/>
    <col min="21" max="21" width="7.6640625" bestFit="1" customWidth="1"/>
    <col min="22" max="22" width="9.88671875" bestFit="1" customWidth="1"/>
  </cols>
  <sheetData>
    <row r="1" spans="1:22" x14ac:dyDescent="0.3">
      <c r="A1" t="s">
        <v>24</v>
      </c>
      <c r="B1" t="s">
        <v>25</v>
      </c>
    </row>
    <row r="2" spans="1:22" x14ac:dyDescent="0.3">
      <c r="A2">
        <v>1</v>
      </c>
      <c r="B2">
        <v>0</v>
      </c>
    </row>
    <row r="3" spans="1:22" x14ac:dyDescent="0.3">
      <c r="A3">
        <v>0</v>
      </c>
      <c r="B3">
        <v>0</v>
      </c>
      <c r="F3" s="12" t="s">
        <v>21</v>
      </c>
      <c r="G3" s="12"/>
    </row>
    <row r="4" spans="1:22" ht="17.399999999999999" customHeight="1" x14ac:dyDescent="0.3">
      <c r="A4">
        <v>1</v>
      </c>
      <c r="B4">
        <v>1</v>
      </c>
      <c r="L4" s="31"/>
      <c r="M4" s="33" t="s">
        <v>39</v>
      </c>
      <c r="N4" s="34"/>
      <c r="O4" s="33" t="s">
        <v>40</v>
      </c>
      <c r="P4" s="34"/>
      <c r="Q4" s="33" t="s">
        <v>41</v>
      </c>
      <c r="R4" s="34"/>
      <c r="S4" s="33" t="s">
        <v>42</v>
      </c>
      <c r="T4" s="34"/>
      <c r="U4" s="33" t="s">
        <v>43</v>
      </c>
      <c r="V4" s="34"/>
    </row>
    <row r="5" spans="1:22" ht="17.399999999999999" customHeight="1" x14ac:dyDescent="0.3">
      <c r="A5">
        <v>1</v>
      </c>
      <c r="B5">
        <v>1</v>
      </c>
      <c r="E5" s="13"/>
      <c r="F5" s="27" t="s">
        <v>25</v>
      </c>
      <c r="G5" s="27"/>
      <c r="H5" s="28"/>
      <c r="L5" s="32"/>
      <c r="M5" s="35" t="s">
        <v>37</v>
      </c>
      <c r="N5" s="35" t="s">
        <v>38</v>
      </c>
      <c r="O5" s="35" t="s">
        <v>37</v>
      </c>
      <c r="P5" s="35" t="s">
        <v>38</v>
      </c>
      <c r="Q5" s="35" t="s">
        <v>37</v>
      </c>
      <c r="R5" s="35" t="s">
        <v>38</v>
      </c>
      <c r="S5" s="35" t="s">
        <v>37</v>
      </c>
      <c r="T5" s="35" t="s">
        <v>38</v>
      </c>
      <c r="U5" s="35" t="s">
        <v>37</v>
      </c>
      <c r="V5" s="35" t="s">
        <v>38</v>
      </c>
    </row>
    <row r="6" spans="1:22" ht="17.399999999999999" customHeight="1" x14ac:dyDescent="0.3">
      <c r="A6">
        <v>1</v>
      </c>
      <c r="B6">
        <v>0</v>
      </c>
      <c r="E6" s="29" t="s">
        <v>24</v>
      </c>
      <c r="F6" s="14"/>
      <c r="G6" s="14">
        <v>1</v>
      </c>
      <c r="H6" s="15">
        <v>0</v>
      </c>
      <c r="L6" s="35" t="s">
        <v>0</v>
      </c>
      <c r="M6" s="37">
        <f>WK_3class!T15</f>
        <v>0.49590422180214233</v>
      </c>
      <c r="N6" s="36">
        <f>Paradox_3class!S15</f>
        <v>0.21026653504442239</v>
      </c>
      <c r="O6" s="37">
        <f>WK_4class!V16</f>
        <v>0.4597514856834144</v>
      </c>
      <c r="P6" s="36">
        <f>Paradox_4class!V16</f>
        <v>0.36102236421725253</v>
      </c>
      <c r="Q6" s="37">
        <f>WK_5class!Y17</f>
        <v>0.49622166246851385</v>
      </c>
      <c r="R6" s="36">
        <f>Paradox_5class!Y17</f>
        <v>0.38157081014223893</v>
      </c>
      <c r="S6" s="37">
        <f>WK_6class!AB18</f>
        <v>0.42112879884225751</v>
      </c>
      <c r="T6" s="36">
        <f>Paradox_6class!AB18</f>
        <v>0.37952430196483977</v>
      </c>
      <c r="U6" s="37">
        <f>WK_7class!AE19</f>
        <v>0.33962264150943378</v>
      </c>
      <c r="V6" s="36">
        <f>Paradox_7class!AE19</f>
        <v>0.29894842263395094</v>
      </c>
    </row>
    <row r="7" spans="1:22" ht="17.399999999999999" customHeight="1" x14ac:dyDescent="0.3">
      <c r="A7">
        <v>1</v>
      </c>
      <c r="B7">
        <v>0</v>
      </c>
      <c r="E7" s="29"/>
      <c r="F7" s="14">
        <v>1</v>
      </c>
      <c r="G7" s="13">
        <f>COUNTIFS(A2:A11,"=1",B2:B11,"=1")</f>
        <v>2</v>
      </c>
      <c r="H7" s="19">
        <f>COUNTIFS(A2:A11,"=1",B2:B11,"=0")</f>
        <v>4</v>
      </c>
      <c r="L7" s="35" t="s">
        <v>35</v>
      </c>
      <c r="M7" s="37">
        <f>WK_3class!H15</f>
        <v>0.50095057034220547</v>
      </c>
      <c r="N7" s="36">
        <f>Paradox_3class!H15</f>
        <v>0.24351585014409227</v>
      </c>
      <c r="O7" s="37">
        <f>WK_4class!I16</f>
        <v>0.471830985915493</v>
      </c>
      <c r="P7" s="36">
        <f>Paradox_4class!I16</f>
        <v>0.42548746518105851</v>
      </c>
      <c r="Q7" s="37">
        <f>WK_5class!J17</f>
        <v>0.53798767967145777</v>
      </c>
      <c r="R7" s="36">
        <f>Paradox_5class!J17</f>
        <v>0.49324324324324342</v>
      </c>
      <c r="S7" s="36">
        <f>WK_6class!K18</f>
        <v>0.48107448107448103</v>
      </c>
      <c r="T7" s="36">
        <f>Paradox_6class!K18</f>
        <v>0.48588709677419362</v>
      </c>
      <c r="U7" s="37">
        <f>WK_7class!L19</f>
        <v>0.4137806637806638</v>
      </c>
      <c r="V7" s="36">
        <f>Paradox_7class!L19</f>
        <v>0.40432551319648069</v>
      </c>
    </row>
    <row r="8" spans="1:22" ht="18" customHeight="1" x14ac:dyDescent="0.3">
      <c r="A8">
        <v>0</v>
      </c>
      <c r="B8">
        <v>0</v>
      </c>
      <c r="E8" s="30"/>
      <c r="F8" s="16">
        <v>0</v>
      </c>
      <c r="G8" s="18">
        <f>COUNTIFS(A2:A11,"=0",B2:B11,"=1")</f>
        <v>1</v>
      </c>
      <c r="H8" s="17">
        <f>COUNTIFS(A2:A11,"=0",B2:B11,"=0")</f>
        <v>3</v>
      </c>
      <c r="L8" s="35" t="s">
        <v>36</v>
      </c>
      <c r="M8" s="37">
        <f>WK_3class!H42</f>
        <v>0.50605481198215418</v>
      </c>
      <c r="N8" s="36">
        <f>Paradox_3class!H42</f>
        <v>0.275023386342376</v>
      </c>
      <c r="O8" s="36">
        <f>WK_4class!I43</f>
        <v>0.50237879925379936</v>
      </c>
      <c r="P8" s="36">
        <f>Paradox_4class!I43</f>
        <v>0.50520043217467514</v>
      </c>
      <c r="Q8" s="36">
        <f>WK_5class!J46</f>
        <v>0.61337513061650983</v>
      </c>
      <c r="R8" s="36">
        <f>Paradox_5class!J46</f>
        <v>0.61816305469556243</v>
      </c>
      <c r="S8" s="36">
        <f>WK_6class!K48</f>
        <v>0.55029980013324453</v>
      </c>
      <c r="T8" s="36">
        <f>Paradox_6class!K48</f>
        <v>0.58745874587458746</v>
      </c>
      <c r="U8" s="36">
        <f>WK_7class!L51</f>
        <v>0.49858772413488062</v>
      </c>
      <c r="V8" s="36">
        <f>Paradox_7class!L51</f>
        <v>0.51390106221707965</v>
      </c>
    </row>
    <row r="9" spans="1:22" x14ac:dyDescent="0.3">
      <c r="A9">
        <v>0</v>
      </c>
      <c r="B9">
        <v>0</v>
      </c>
    </row>
    <row r="10" spans="1:22" x14ac:dyDescent="0.3">
      <c r="A10">
        <v>0</v>
      </c>
      <c r="B10">
        <v>1</v>
      </c>
    </row>
    <row r="11" spans="1:22" x14ac:dyDescent="0.3">
      <c r="A11">
        <v>1</v>
      </c>
      <c r="B11">
        <v>0</v>
      </c>
    </row>
  </sheetData>
  <mergeCells count="8">
    <mergeCell ref="Q4:R4"/>
    <mergeCell ref="S4:T4"/>
    <mergeCell ref="U4:V4"/>
    <mergeCell ref="F5:H5"/>
    <mergeCell ref="E6:E8"/>
    <mergeCell ref="L4:L5"/>
    <mergeCell ref="M4:N4"/>
    <mergeCell ref="O4:P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CK</vt:lpstr>
      <vt:lpstr>WK_3class</vt:lpstr>
      <vt:lpstr>Paradox_3class</vt:lpstr>
      <vt:lpstr>WK_4class</vt:lpstr>
      <vt:lpstr>Paradox_4class</vt:lpstr>
      <vt:lpstr>WK_5class</vt:lpstr>
      <vt:lpstr>Paradox_5class</vt:lpstr>
      <vt:lpstr>WK_6class</vt:lpstr>
      <vt:lpstr>Paradox_6class</vt:lpstr>
      <vt:lpstr>WK_7class</vt:lpstr>
      <vt:lpstr>Paradox_7class</vt:lpstr>
      <vt:lpstr>Confusion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Doewes, Afrizal</cp:lastModifiedBy>
  <dcterms:created xsi:type="dcterms:W3CDTF">2022-03-24T14:28:39Z</dcterms:created>
  <dcterms:modified xsi:type="dcterms:W3CDTF">2022-09-17T12:32:40Z</dcterms:modified>
</cp:coreProperties>
</file>