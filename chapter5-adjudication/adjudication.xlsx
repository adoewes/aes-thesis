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20167947\Dropbox\Python Scripts\adjudication\"/>
    </mc:Choice>
  </mc:AlternateContent>
  <xr:revisionPtr revIDLastSave="0" documentId="13_ncr:1_{EB5F8414-3031-425A-8B15-7135EC919B33}" xr6:coauthVersionLast="46" xr6:coauthVersionMax="46" xr10:uidLastSave="{00000000-0000-0000-0000-000000000000}"/>
  <bookViews>
    <workbookView xWindow="23880" yWindow="-120" windowWidth="29040" windowHeight="15840" activeTab="2" xr2:uid="{00000000-000D-0000-FFFF-FFFF00000000}"/>
  </bookViews>
  <sheets>
    <sheet name="Sheet1" sheetId="1" r:id="rId1"/>
    <sheet name="Sheet2" sheetId="2" r:id="rId2"/>
    <sheet name="Sheet4" sheetId="4" r:id="rId3"/>
    <sheet name="Sheet5" sheetId="5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2" l="1"/>
  <c r="K28" i="2"/>
  <c r="L28" i="2"/>
  <c r="M28" i="2"/>
  <c r="J29" i="2"/>
  <c r="K29" i="2"/>
  <c r="L29" i="2"/>
  <c r="M29" i="2"/>
  <c r="J30" i="2"/>
  <c r="K30" i="2"/>
  <c r="L30" i="2"/>
  <c r="M30" i="2"/>
  <c r="J31" i="2"/>
  <c r="K31" i="2"/>
  <c r="L31" i="2"/>
  <c r="M31" i="2"/>
  <c r="J32" i="2"/>
  <c r="K32" i="2"/>
  <c r="L32" i="2"/>
  <c r="M32" i="2"/>
  <c r="I29" i="2"/>
  <c r="I30" i="2"/>
  <c r="I31" i="2"/>
  <c r="I32" i="2"/>
  <c r="I28" i="2"/>
</calcChain>
</file>

<file path=xl/sharedStrings.xml><?xml version="1.0" encoding="utf-8"?>
<sst xmlns="http://schemas.openxmlformats.org/spreadsheetml/2006/main" count="223" uniqueCount="91">
  <si>
    <t>ASAP1</t>
  </si>
  <si>
    <t>ASAP3</t>
  </si>
  <si>
    <t>ASAP4</t>
  </si>
  <si>
    <t>ASAP5</t>
  </si>
  <si>
    <t>ASAP6</t>
  </si>
  <si>
    <t>ASAP7</t>
  </si>
  <si>
    <t>ASAP8</t>
  </si>
  <si>
    <t>ASAP2_2</t>
  </si>
  <si>
    <t>ASAP2_1</t>
  </si>
  <si>
    <t>QWK</t>
  </si>
  <si>
    <t>Dataset</t>
  </si>
  <si>
    <t>QWK exact</t>
  </si>
  <si>
    <t>QWK exact + adjacent</t>
  </si>
  <si>
    <t>n</t>
  </si>
  <si>
    <t>higher</t>
  </si>
  <si>
    <t>mean</t>
  </si>
  <si>
    <t>sum</t>
  </si>
  <si>
    <t>ASAP2 dom1</t>
  </si>
  <si>
    <t>ASAP2 dom2</t>
  </si>
  <si>
    <t>formula</t>
  </si>
  <si>
    <t>ASAP Correction</t>
  </si>
  <si>
    <t>ASAP 3</t>
  </si>
  <si>
    <t>Prompt</t>
  </si>
  <si>
    <t>ASAP 4</t>
  </si>
  <si>
    <t>ASAP 5</t>
  </si>
  <si>
    <t>ASAP 6</t>
  </si>
  <si>
    <t>Correct</t>
  </si>
  <si>
    <t>Incorrect</t>
  </si>
  <si>
    <t>Advantage</t>
  </si>
  <si>
    <t>Disadvantage</t>
  </si>
  <si>
    <t>LABEL</t>
  </si>
  <si>
    <t>PREDIKSI</t>
  </si>
  <si>
    <t>4 value</t>
  </si>
  <si>
    <t>PREDICTED</t>
  </si>
  <si>
    <t>ACTUAL</t>
  </si>
  <si>
    <t>0 - 3</t>
  </si>
  <si>
    <t>0 - 4</t>
  </si>
  <si>
    <t>STANDARD METRIC FOR AES</t>
  </si>
  <si>
    <t>Quadratic Weighted Kappa</t>
  </si>
  <si>
    <t>Linear Weighted Kappa</t>
  </si>
  <si>
    <t>QWK APPROVED &gt;= 0.7</t>
  </si>
  <si>
    <t>Score : 0-3</t>
  </si>
  <si>
    <t>rater1</t>
  </si>
  <si>
    <t>rater2</t>
  </si>
  <si>
    <t>0 - 6</t>
  </si>
  <si>
    <t>n x n</t>
  </si>
  <si>
    <t>Krippendorff's alpha</t>
  </si>
  <si>
    <t>Prediction</t>
  </si>
  <si>
    <t>Interpretation</t>
  </si>
  <si>
    <t>Rater 1</t>
  </si>
  <si>
    <t>Rater 2</t>
  </si>
  <si>
    <t>[1, 2, 3]</t>
  </si>
  <si>
    <t>[2, 1, 3]</t>
  </si>
  <si>
    <t>Moderate agreement</t>
  </si>
  <si>
    <t>[1, 2, 4]</t>
  </si>
  <si>
    <t>[2, 1, 4]</t>
  </si>
  <si>
    <t>Substantial agreement</t>
  </si>
  <si>
    <t>Kappa</t>
  </si>
  <si>
    <t>&lt; 0</t>
  </si>
  <si>
    <t>Less than chance agreement</t>
  </si>
  <si>
    <t>0.01 – 0.20</t>
  </si>
  <si>
    <t>Slight agreement</t>
  </si>
  <si>
    <t>0.21 – 0.40</t>
  </si>
  <si>
    <t>Fair agreement</t>
  </si>
  <si>
    <t>0.41 – 0.60</t>
  </si>
  <si>
    <t>0.61 – 0.80</t>
  </si>
  <si>
    <t>0.81 – 1.00</t>
  </si>
  <si>
    <t>Almost perfect agreement</t>
  </si>
  <si>
    <t>QWK quadratic</t>
  </si>
  <si>
    <t>QWK 1.5</t>
  </si>
  <si>
    <t>Score / Prediction</t>
  </si>
  <si>
    <t>Decision</t>
  </si>
  <si>
    <t>Human</t>
  </si>
  <si>
    <t>AES</t>
  </si>
  <si>
    <t>[1, 8, 10]</t>
  </si>
  <si>
    <t>[4, 5, 10]</t>
  </si>
  <si>
    <t>[4, 4, 10]</t>
  </si>
  <si>
    <t>Approved</t>
  </si>
  <si>
    <t>Rejected</t>
  </si>
  <si>
    <t>[2, 8 ,5, 8, 12]</t>
  </si>
  <si>
    <t>[1, 8, 5, 2, 12]</t>
  </si>
  <si>
    <t>[2, 8, 5, 9, 12]</t>
  </si>
  <si>
    <t>QWK-1.5</t>
  </si>
  <si>
    <t>QWK-2</t>
  </si>
  <si>
    <t>LWK</t>
  </si>
  <si>
    <t>Cohen's Kappa</t>
  </si>
  <si>
    <t>1.5WK</t>
  </si>
  <si>
    <t>Mean</t>
  </si>
  <si>
    <t>Higher</t>
  </si>
  <si>
    <t>Sum</t>
  </si>
  <si>
    <t>Bangdiwala's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</si>
</sst>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mbria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rgb="FF000000"/>
      <name val="Calibri"/>
      <family val="2"/>
      <charset val="1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justify" vertical="center"/>
    </xf>
    <xf numFmtId="0" fontId="5" fillId="3" borderId="3" xfId="0" applyFont="1" applyFill="1" applyBorder="1" applyAlignment="1">
      <alignment horizontal="justify" vertical="center"/>
    </xf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7" fillId="0" borderId="0" xfId="0" applyFont="1"/>
    <xf numFmtId="2" fontId="6" fillId="0" borderId="1" xfId="0" applyNumberFormat="1" applyFont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0" fillId="0" borderId="0" xfId="0" applyFill="1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5" fillId="0" borderId="0" xfId="0" applyFont="1" applyFill="1" applyBorder="1" applyAlignment="1">
      <alignment horizontal="justify"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0" xfId="0" applyFont="1"/>
    <xf numFmtId="0" fontId="12" fillId="0" borderId="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justify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justify" vertical="center"/>
    </xf>
    <xf numFmtId="0" fontId="15" fillId="0" borderId="1" xfId="0" applyFont="1" applyFill="1" applyBorder="1" applyAlignment="1">
      <alignment horizontal="center" vertical="center"/>
    </xf>
    <xf numFmtId="0" fontId="6" fillId="0" borderId="0" xfId="0" applyFont="1" applyFill="1"/>
    <xf numFmtId="0" fontId="14" fillId="0" borderId="0" xfId="0" applyFont="1" applyFill="1" applyBorder="1" applyAlignment="1">
      <alignment horizontal="justify" vertical="center"/>
    </xf>
    <xf numFmtId="0" fontId="0" fillId="0" borderId="0" xfId="0" applyBorder="1"/>
    <xf numFmtId="0" fontId="11" fillId="0" borderId="0" xfId="0" applyFont="1" applyFill="1" applyBorder="1"/>
    <xf numFmtId="0" fontId="16" fillId="0" borderId="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Sheet1!$E$30</c:f>
              <c:strCache>
                <c:ptCount val="1"/>
                <c:pt idx="0">
                  <c:v>Advantage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Sheet1!$E$31:$E$34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E-412C-A964-631B73521FF9}"/>
            </c:ext>
          </c:extLst>
        </c:ser>
        <c:ser>
          <c:idx val="1"/>
          <c:order val="1"/>
          <c:tx>
            <c:strRef>
              <c:f>Sheet1!$F$30</c:f>
              <c:strCache>
                <c:ptCount val="1"/>
                <c:pt idx="0">
                  <c:v>Disadvantage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Sheet1!$F$31:$F$34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58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E-412C-A964-631B73521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8840639"/>
        <c:axId val="1287800703"/>
      </c:barChart>
      <c:catAx>
        <c:axId val="116884063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800703"/>
        <c:crosses val="autoZero"/>
        <c:auto val="1"/>
        <c:lblAlgn val="ctr"/>
        <c:lblOffset val="100"/>
        <c:noMultiLvlLbl val="0"/>
      </c:catAx>
      <c:valAx>
        <c:axId val="128780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84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Prompt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Sheet6!$C$14</c:f>
              <c:strCache>
                <c:ptCount val="1"/>
                <c:pt idx="0">
                  <c:v>Higher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Sheet6!$B$15:$B$18</c:f>
              <c:strCache>
                <c:ptCount val="4"/>
                <c:pt idx="0">
                  <c:v>Cohen's Kappa</c:v>
                </c:pt>
                <c:pt idx="1">
                  <c:v>LWK</c:v>
                </c:pt>
                <c:pt idx="2">
                  <c:v>1.5WK</c:v>
                </c:pt>
                <c:pt idx="3">
                  <c:v>QWK</c:v>
                </c:pt>
              </c:strCache>
            </c:strRef>
          </c:cat>
          <c:val>
            <c:numRef>
              <c:f>Sheet6!$C$15:$C$18</c:f>
              <c:numCache>
                <c:formatCode>General</c:formatCode>
                <c:ptCount val="4"/>
                <c:pt idx="0">
                  <c:v>0.5</c:v>
                </c:pt>
                <c:pt idx="1">
                  <c:v>0.56999999999999995</c:v>
                </c:pt>
                <c:pt idx="2">
                  <c:v>0.66</c:v>
                </c:pt>
                <c:pt idx="3">
                  <c:v>0.71799999999999997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1-44D5-BFAA-2BFBA39750FD}"/>
            </c:ext>
          </c:extLst>
        </c:ser>
        <c:ser>
          <c:idx val="1"/>
          <c:order val="1"/>
          <c:tx>
            <c:strRef>
              <c:f>Sheet6!$D$14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Sheet6!$B$15:$B$18</c:f>
              <c:strCache>
                <c:ptCount val="4"/>
                <c:pt idx="0">
                  <c:v>Cohen's Kappa</c:v>
                </c:pt>
                <c:pt idx="1">
                  <c:v>LWK</c:v>
                </c:pt>
                <c:pt idx="2">
                  <c:v>1.5WK</c:v>
                </c:pt>
                <c:pt idx="3">
                  <c:v>QWK</c:v>
                </c:pt>
              </c:strCache>
            </c:strRef>
          </c:cat>
          <c:val>
            <c:numRef>
              <c:f>Sheet6!$D$15:$D$18</c:f>
              <c:numCache>
                <c:formatCode>General</c:formatCode>
                <c:ptCount val="4"/>
                <c:pt idx="0">
                  <c:v>0.52</c:v>
                </c:pt>
                <c:pt idx="1">
                  <c:v>0.53</c:v>
                </c:pt>
                <c:pt idx="2">
                  <c:v>0.66</c:v>
                </c:pt>
                <c:pt idx="3">
                  <c:v>0.71279999999999999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71-44D5-BFAA-2BFBA39750FD}"/>
            </c:ext>
          </c:extLst>
        </c:ser>
        <c:ser>
          <c:idx val="2"/>
          <c:order val="2"/>
          <c:tx>
            <c:strRef>
              <c:f>Sheet6!$E$14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Sheet6!$B$15:$B$18</c:f>
              <c:strCache>
                <c:ptCount val="4"/>
                <c:pt idx="0">
                  <c:v>Cohen's Kappa</c:v>
                </c:pt>
                <c:pt idx="1">
                  <c:v>LWK</c:v>
                </c:pt>
                <c:pt idx="2">
                  <c:v>1.5WK</c:v>
                </c:pt>
                <c:pt idx="3">
                  <c:v>QWK</c:v>
                </c:pt>
              </c:strCache>
            </c:strRef>
          </c:cat>
          <c:val>
            <c:numRef>
              <c:f>Sheet6!$E$15:$E$18</c:f>
              <c:numCache>
                <c:formatCode>General</c:formatCode>
                <c:ptCount val="4"/>
                <c:pt idx="0">
                  <c:v>0.35</c:v>
                </c:pt>
                <c:pt idx="1">
                  <c:v>0.51</c:v>
                </c:pt>
                <c:pt idx="2">
                  <c:v>0.7</c:v>
                </c:pt>
                <c:pt idx="3">
                  <c:v>0.78259999999999996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71-44D5-BFAA-2BFBA3975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406464"/>
        <c:axId val="601399808"/>
      </c:lineChart>
      <c:catAx>
        <c:axId val="60140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399808"/>
        <c:crosses val="autoZero"/>
        <c:auto val="1"/>
        <c:lblAlgn val="ctr"/>
        <c:lblOffset val="100"/>
        <c:noMultiLvlLbl val="0"/>
      </c:catAx>
      <c:valAx>
        <c:axId val="60139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0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Prompt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Sheet6!$M$14</c:f>
              <c:strCache>
                <c:ptCount val="1"/>
                <c:pt idx="0">
                  <c:v>Higher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Sheet6!$L$15:$L$18</c:f>
              <c:strCache>
                <c:ptCount val="4"/>
                <c:pt idx="0">
                  <c:v>Cohen's Kappa</c:v>
                </c:pt>
                <c:pt idx="1">
                  <c:v>LWK</c:v>
                </c:pt>
                <c:pt idx="2">
                  <c:v>1.5WK</c:v>
                </c:pt>
                <c:pt idx="3">
                  <c:v>QWK</c:v>
                </c:pt>
              </c:strCache>
            </c:strRef>
          </c:cat>
          <c:val>
            <c:numRef>
              <c:f>Sheet6!$M$15:$M$18</c:f>
              <c:numCache>
                <c:formatCode>General</c:formatCode>
                <c:ptCount val="4"/>
                <c:pt idx="0">
                  <c:v>0.18</c:v>
                </c:pt>
                <c:pt idx="1">
                  <c:v>0.35</c:v>
                </c:pt>
                <c:pt idx="2">
                  <c:v>0.64</c:v>
                </c:pt>
                <c:pt idx="3">
                  <c:v>0.73409999999999997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2-4BD5-8B2E-9577CBC3D0BC}"/>
            </c:ext>
          </c:extLst>
        </c:ser>
        <c:ser>
          <c:idx val="1"/>
          <c:order val="1"/>
          <c:tx>
            <c:strRef>
              <c:f>Sheet6!$N$14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Sheet6!$L$15:$L$18</c:f>
              <c:strCache>
                <c:ptCount val="4"/>
                <c:pt idx="0">
                  <c:v>Cohen's Kappa</c:v>
                </c:pt>
                <c:pt idx="1">
                  <c:v>LWK</c:v>
                </c:pt>
                <c:pt idx="2">
                  <c:v>1.5WK</c:v>
                </c:pt>
                <c:pt idx="3">
                  <c:v>QWK</c:v>
                </c:pt>
              </c:strCache>
            </c:strRef>
          </c:cat>
          <c:val>
            <c:numRef>
              <c:f>Sheet6!$N$15:$N$18</c:f>
              <c:numCache>
                <c:formatCode>General</c:formatCode>
                <c:ptCount val="4"/>
                <c:pt idx="0">
                  <c:v>0.18</c:v>
                </c:pt>
                <c:pt idx="1">
                  <c:v>0.36</c:v>
                </c:pt>
                <c:pt idx="2">
                  <c:v>0.67</c:v>
                </c:pt>
                <c:pt idx="3">
                  <c:v>0.76790000000000003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2-4BD5-8B2E-9577CBC3D0BC}"/>
            </c:ext>
          </c:extLst>
        </c:ser>
        <c:ser>
          <c:idx val="2"/>
          <c:order val="2"/>
          <c:tx>
            <c:strRef>
              <c:f>Sheet6!$O$14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Sheet6!$L$15:$L$18</c:f>
              <c:strCache>
                <c:ptCount val="4"/>
                <c:pt idx="0">
                  <c:v>Cohen's Kappa</c:v>
                </c:pt>
                <c:pt idx="1">
                  <c:v>LWK</c:v>
                </c:pt>
                <c:pt idx="2">
                  <c:v>1.5WK</c:v>
                </c:pt>
                <c:pt idx="3">
                  <c:v>QWK</c:v>
                </c:pt>
              </c:strCache>
            </c:strRef>
          </c:cat>
          <c:val>
            <c:numRef>
              <c:f>Sheet6!$O$15:$O$18</c:f>
              <c:numCache>
                <c:formatCode>General</c:formatCode>
                <c:ptCount val="4"/>
                <c:pt idx="0">
                  <c:v>0.1</c:v>
                </c:pt>
                <c:pt idx="1">
                  <c:v>0.37</c:v>
                </c:pt>
                <c:pt idx="2">
                  <c:v>0.68</c:v>
                </c:pt>
                <c:pt idx="3">
                  <c:v>0.77710000000000001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2-4BD5-8B2E-9577CBC3D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440720"/>
        <c:axId val="599431568"/>
      </c:lineChart>
      <c:catAx>
        <c:axId val="5994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31568"/>
        <c:crosses val="autoZero"/>
        <c:auto val="1"/>
        <c:lblAlgn val="ctr"/>
        <c:lblOffset val="100"/>
        <c:noMultiLvlLbl val="0"/>
      </c:catAx>
      <c:valAx>
        <c:axId val="59943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4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575227</xdr:colOff>
      <xdr:row>29</xdr:row>
      <xdr:rowOff>39135</xdr:rowOff>
    </xdr:from>
    <xdr:to>
      <xdr:col>12</xdr:col>
      <xdr:colOff>232327</xdr:colOff>
      <xdr:row>43</xdr:row>
      <xdr:rowOff>111608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FB0706-969D-4D7D-B804-30914C428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11</xdr:row>
      <xdr:rowOff>61912</xdr:rowOff>
    </xdr:from>
    <xdr:to>
      <xdr:col>10</xdr:col>
      <xdr:colOff>200025</xdr:colOff>
      <xdr:row>25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318C2-4E92-4D0E-BDAA-D1E3519EC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419100</xdr:colOff>
      <xdr:row>16</xdr:row>
      <xdr:rowOff>109537</xdr:rowOff>
    </xdr:from>
    <xdr:to>
      <xdr:col>15</xdr:col>
      <xdr:colOff>409575</xdr:colOff>
      <xdr:row>30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C21FAF-9238-47F6-BCDF-55910E8D3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zoomScale="115" zoomScaleNormal="115" workbookViewId="0">
      <selection activeCell="I15" sqref="I15:I16"/>
    </sheetView>
  </sheetViews>
  <sheetFormatPr defaultRowHeight="15" x14ac:dyDescent="0.25"/>
  <cols>
    <col min="1" max="1" width="9.85546875" customWidth="1"/>
    <col min="2" max="2" width="11.42578125" customWidth="1"/>
    <col min="3" max="3" width="20.42578125" customWidth="1"/>
    <col min="4" max="5" width="15.5703125" bestFit="1" customWidth="1"/>
    <col min="6" max="6" width="13" bestFit="1" customWidth="1"/>
    <col min="9" max="9" width="12.28515625" customWidth="1"/>
    <col min="10" max="10" width="13.42578125" customWidth="1"/>
    <col min="11" max="11" width="14.140625" customWidth="1"/>
    <col min="12" max="12" width="15.5703125" customWidth="1"/>
    <col min="13" max="13" width="11.7109375" customWidth="1"/>
    <col min="14" max="14" width="12.28515625" customWidth="1"/>
    <col min="15" max="15" width="14.28515625" customWidth="1"/>
  </cols>
  <sheetData>
    <row r="1" spans="1:14" ht="15.75" thickBot="1" x14ac:dyDescent="0.3"/>
    <row r="2" spans="1:14" ht="15.75" thickBot="1" x14ac:dyDescent="0.3">
      <c r="A2" s="6" t="s">
        <v>10</v>
      </c>
      <c r="B2" s="6" t="s">
        <v>9</v>
      </c>
      <c r="C2" s="7" t="s">
        <v>12</v>
      </c>
      <c r="D2" s="7" t="s">
        <v>11</v>
      </c>
      <c r="E2" s="7" t="s">
        <v>13</v>
      </c>
      <c r="I2" s="51" t="s">
        <v>10</v>
      </c>
      <c r="J2" s="48" t="s">
        <v>9</v>
      </c>
      <c r="K2" s="49"/>
      <c r="L2" s="50"/>
    </row>
    <row r="3" spans="1:14" ht="16.5" thickBot="1" x14ac:dyDescent="0.3">
      <c r="A3" s="1" t="s">
        <v>0</v>
      </c>
      <c r="B3" s="3">
        <v>0.78259999999999996</v>
      </c>
      <c r="C3" s="1">
        <v>0.77580000000000005</v>
      </c>
      <c r="D3" s="1">
        <v>0.75929999999999997</v>
      </c>
      <c r="E3" s="5">
        <v>1783</v>
      </c>
      <c r="I3" s="52"/>
      <c r="J3" s="11" t="s">
        <v>14</v>
      </c>
      <c r="K3" s="11" t="s">
        <v>15</v>
      </c>
      <c r="L3" s="11" t="s">
        <v>16</v>
      </c>
    </row>
    <row r="4" spans="1:14" ht="16.5" thickBot="1" x14ac:dyDescent="0.3">
      <c r="A4" s="1" t="s">
        <v>8</v>
      </c>
      <c r="B4" s="2">
        <v>0.67310000000000003</v>
      </c>
      <c r="C4" s="1">
        <v>0.67249999999999999</v>
      </c>
      <c r="D4" s="4">
        <v>0.72599999999999998</v>
      </c>
      <c r="E4" s="5">
        <v>1800</v>
      </c>
      <c r="I4" s="12" t="s">
        <v>0</v>
      </c>
      <c r="J4" s="15">
        <v>0.71799999999999997</v>
      </c>
      <c r="K4" s="9">
        <v>0.71279999999999999</v>
      </c>
      <c r="L4" s="3">
        <v>0.78259999999999996</v>
      </c>
      <c r="M4" t="s">
        <v>16</v>
      </c>
      <c r="N4" t="s">
        <v>40</v>
      </c>
    </row>
    <row r="5" spans="1:14" ht="16.5" thickBot="1" x14ac:dyDescent="0.3">
      <c r="A5" s="1" t="s">
        <v>7</v>
      </c>
      <c r="B5" s="2">
        <v>0.67149999999999999</v>
      </c>
      <c r="C5" s="1">
        <v>0.65649999999999997</v>
      </c>
      <c r="D5" s="4">
        <v>0.71440000000000003</v>
      </c>
      <c r="E5" s="5">
        <v>1800</v>
      </c>
      <c r="I5" s="13" t="s">
        <v>17</v>
      </c>
      <c r="J5" s="9">
        <v>0.67310000000000003</v>
      </c>
      <c r="K5" s="9"/>
      <c r="L5" s="9"/>
      <c r="M5" s="14" t="s">
        <v>19</v>
      </c>
    </row>
    <row r="6" spans="1:14" ht="16.5" thickBot="1" x14ac:dyDescent="0.3">
      <c r="A6" s="1" t="s">
        <v>1</v>
      </c>
      <c r="B6" s="2">
        <v>0.68869999999999998</v>
      </c>
      <c r="C6" s="4">
        <v>0.69640000000000002</v>
      </c>
      <c r="D6" s="1">
        <v>0.68410000000000004</v>
      </c>
      <c r="E6" s="5">
        <v>1726</v>
      </c>
      <c r="I6" s="13" t="s">
        <v>18</v>
      </c>
      <c r="J6" s="9">
        <v>0.67149999999999999</v>
      </c>
      <c r="K6" s="9"/>
      <c r="L6" s="9"/>
      <c r="M6" s="14" t="s">
        <v>19</v>
      </c>
    </row>
    <row r="7" spans="1:14" ht="16.5" thickBot="1" x14ac:dyDescent="0.3">
      <c r="A7" s="1" t="s">
        <v>2</v>
      </c>
      <c r="B7" s="3">
        <v>0.77359999999999995</v>
      </c>
      <c r="C7" s="1">
        <v>0.76949999999999996</v>
      </c>
      <c r="D7" s="1">
        <v>0.77170000000000005</v>
      </c>
      <c r="E7" s="5">
        <v>1772</v>
      </c>
      <c r="I7" s="12" t="s">
        <v>1</v>
      </c>
      <c r="J7" s="9">
        <v>0.68189999999999995</v>
      </c>
      <c r="K7" s="15">
        <v>0.67390000000000005</v>
      </c>
      <c r="L7" s="3">
        <v>0.7016</v>
      </c>
      <c r="M7" t="s">
        <v>14</v>
      </c>
    </row>
    <row r="8" spans="1:14" ht="16.5" thickBot="1" x14ac:dyDescent="0.3">
      <c r="A8" s="1" t="s">
        <v>3</v>
      </c>
      <c r="B8" s="2">
        <v>0.80649999999999999</v>
      </c>
      <c r="C8" s="1">
        <v>0.81340000000000001</v>
      </c>
      <c r="D8" s="4">
        <v>0.84860000000000002</v>
      </c>
      <c r="E8" s="5">
        <v>1805</v>
      </c>
      <c r="I8" s="12" t="s">
        <v>2</v>
      </c>
      <c r="J8" s="15">
        <v>0.76429999999999998</v>
      </c>
      <c r="K8" s="9">
        <v>0.77359999999999995</v>
      </c>
      <c r="L8" s="3">
        <v>0.80730000000000002</v>
      </c>
      <c r="M8" t="s">
        <v>14</v>
      </c>
    </row>
    <row r="9" spans="1:14" ht="16.5" thickBot="1" x14ac:dyDescent="0.3">
      <c r="A9" s="1" t="s">
        <v>4</v>
      </c>
      <c r="B9" s="2">
        <v>0.79849999999999999</v>
      </c>
      <c r="C9" s="1">
        <v>0.78969999999999996</v>
      </c>
      <c r="D9" s="4">
        <v>0.83789999999999998</v>
      </c>
      <c r="E9" s="5">
        <v>1800</v>
      </c>
      <c r="I9" s="12" t="s">
        <v>3</v>
      </c>
      <c r="J9" s="15">
        <v>0.80730000000000002</v>
      </c>
      <c r="K9" s="9">
        <v>0.81040000000000001</v>
      </c>
      <c r="L9" s="3">
        <v>0.86350000000000005</v>
      </c>
      <c r="M9" t="s">
        <v>14</v>
      </c>
    </row>
    <row r="10" spans="1:14" ht="16.5" thickBot="1" x14ac:dyDescent="0.3">
      <c r="A10" s="1" t="s">
        <v>5</v>
      </c>
      <c r="B10" s="2">
        <v>0.77710000000000001</v>
      </c>
      <c r="C10" s="4">
        <v>0.7782</v>
      </c>
      <c r="D10" s="1">
        <v>0.77270000000000005</v>
      </c>
      <c r="E10" s="5">
        <v>1569</v>
      </c>
      <c r="I10" s="12" t="s">
        <v>4</v>
      </c>
      <c r="J10" s="9">
        <v>0.7964</v>
      </c>
      <c r="K10" s="15">
        <v>0.79290000000000005</v>
      </c>
      <c r="L10" s="3">
        <v>0.85460000000000003</v>
      </c>
      <c r="M10" t="s">
        <v>14</v>
      </c>
    </row>
    <row r="11" spans="1:14" ht="16.5" thickBot="1" x14ac:dyDescent="0.3">
      <c r="A11" s="1" t="s">
        <v>6</v>
      </c>
      <c r="B11" s="3">
        <v>0.66679999999999995</v>
      </c>
      <c r="C11" s="1">
        <v>0.59089999999999998</v>
      </c>
      <c r="D11" s="1">
        <v>0.52549999999999997</v>
      </c>
      <c r="E11" s="5">
        <v>723</v>
      </c>
      <c r="I11" s="12" t="s">
        <v>5</v>
      </c>
      <c r="J11" s="15">
        <v>0.73409999999999997</v>
      </c>
      <c r="K11" s="9">
        <v>0.76790000000000003</v>
      </c>
      <c r="L11" s="3">
        <v>0.77710000000000001</v>
      </c>
      <c r="M11" t="s">
        <v>16</v>
      </c>
    </row>
    <row r="12" spans="1:14" ht="16.5" thickBot="1" x14ac:dyDescent="0.3">
      <c r="I12" s="13" t="s">
        <v>6</v>
      </c>
      <c r="J12" s="9">
        <v>0.66679999999999995</v>
      </c>
      <c r="K12" s="9"/>
      <c r="L12" s="9"/>
      <c r="M12" s="14" t="s">
        <v>19</v>
      </c>
    </row>
    <row r="14" spans="1:14" ht="15.75" thickBot="1" x14ac:dyDescent="0.3"/>
    <row r="15" spans="1:14" ht="15.75" thickBot="1" x14ac:dyDescent="0.3">
      <c r="A15" s="7" t="s">
        <v>10</v>
      </c>
      <c r="B15" s="7" t="s">
        <v>9</v>
      </c>
      <c r="C15" s="7"/>
      <c r="D15" s="7"/>
      <c r="E15" s="7" t="s">
        <v>13</v>
      </c>
      <c r="I15" s="51" t="s">
        <v>10</v>
      </c>
      <c r="J15" s="48" t="s">
        <v>46</v>
      </c>
      <c r="K15" s="49"/>
      <c r="L15" s="50"/>
    </row>
    <row r="16" spans="1:14" ht="16.5" thickBot="1" x14ac:dyDescent="0.3">
      <c r="A16" s="8" t="s">
        <v>0</v>
      </c>
      <c r="B16" s="9">
        <v>0.78259999999999996</v>
      </c>
      <c r="C16" s="8"/>
      <c r="D16" s="8"/>
      <c r="E16" s="10">
        <v>1783</v>
      </c>
      <c r="I16" s="52"/>
      <c r="J16" s="11" t="s">
        <v>14</v>
      </c>
      <c r="K16" s="11" t="s">
        <v>15</v>
      </c>
      <c r="L16" s="11" t="s">
        <v>16</v>
      </c>
    </row>
    <row r="17" spans="1:14" ht="16.5" thickBot="1" x14ac:dyDescent="0.3">
      <c r="A17" s="8" t="s">
        <v>8</v>
      </c>
      <c r="B17" s="9">
        <v>0.67310000000000003</v>
      </c>
      <c r="C17" s="8"/>
      <c r="D17" s="8"/>
      <c r="E17" s="10">
        <v>1800</v>
      </c>
      <c r="I17" s="12" t="s">
        <v>0</v>
      </c>
      <c r="J17" s="15">
        <v>0.72</v>
      </c>
      <c r="K17" s="9">
        <v>0.71440000000000003</v>
      </c>
      <c r="L17" s="3">
        <v>0.78410000000000002</v>
      </c>
    </row>
    <row r="18" spans="1:14" ht="16.5" thickBot="1" x14ac:dyDescent="0.3">
      <c r="A18" s="8" t="s">
        <v>7</v>
      </c>
      <c r="B18" s="9">
        <v>0.67149999999999999</v>
      </c>
      <c r="C18" s="8"/>
      <c r="D18" s="8"/>
      <c r="E18" s="10">
        <v>1800</v>
      </c>
      <c r="I18" s="12" t="s">
        <v>1</v>
      </c>
      <c r="J18" s="9">
        <v>0.6825</v>
      </c>
      <c r="K18" s="15">
        <v>0.67510000000000003</v>
      </c>
      <c r="L18" s="3">
        <v>0.70169999999999999</v>
      </c>
      <c r="M18" s="21"/>
      <c r="N18" s="21"/>
    </row>
    <row r="19" spans="1:14" ht="16.5" thickBot="1" x14ac:dyDescent="0.3">
      <c r="A19" s="8" t="s">
        <v>1</v>
      </c>
      <c r="B19" s="9">
        <v>0.68869999999999998</v>
      </c>
      <c r="C19" s="8"/>
      <c r="D19" s="8"/>
      <c r="E19" s="10">
        <v>1726</v>
      </c>
      <c r="I19" s="12" t="s">
        <v>2</v>
      </c>
      <c r="J19" s="15">
        <v>0.76500000000000001</v>
      </c>
      <c r="K19" s="9">
        <v>0.7742</v>
      </c>
      <c r="L19" s="3">
        <v>0.80789999999999995</v>
      </c>
      <c r="M19" s="21"/>
      <c r="N19" s="21"/>
    </row>
    <row r="20" spans="1:14" ht="16.5" thickBot="1" x14ac:dyDescent="0.3">
      <c r="A20" s="8" t="s">
        <v>2</v>
      </c>
      <c r="B20" s="9">
        <v>0.77359999999999995</v>
      </c>
      <c r="C20" s="8"/>
      <c r="D20" s="8"/>
      <c r="E20" s="10">
        <v>1772</v>
      </c>
      <c r="I20" s="12" t="s">
        <v>3</v>
      </c>
      <c r="J20" s="15">
        <v>0.80769999999999997</v>
      </c>
      <c r="K20" s="9">
        <v>0.81079999999999997</v>
      </c>
      <c r="L20" s="3">
        <v>0.86399999999999999</v>
      </c>
    </row>
    <row r="21" spans="1:14" ht="16.5" thickBot="1" x14ac:dyDescent="0.3">
      <c r="A21" s="8" t="s">
        <v>3</v>
      </c>
      <c r="B21" s="9">
        <v>0.80649999999999999</v>
      </c>
      <c r="C21" s="8"/>
      <c r="D21" s="8"/>
      <c r="E21" s="10">
        <v>1805</v>
      </c>
      <c r="I21" s="12" t="s">
        <v>4</v>
      </c>
      <c r="J21" s="9">
        <v>0.7964</v>
      </c>
      <c r="K21" s="15">
        <v>0.79310000000000003</v>
      </c>
      <c r="L21" s="3">
        <v>0.8548</v>
      </c>
    </row>
    <row r="22" spans="1:14" ht="16.5" thickBot="1" x14ac:dyDescent="0.3">
      <c r="A22" s="8" t="s">
        <v>4</v>
      </c>
      <c r="B22" s="9">
        <v>0.79849999999999999</v>
      </c>
      <c r="C22" s="8"/>
      <c r="D22" s="8"/>
      <c r="E22" s="10">
        <v>1800</v>
      </c>
      <c r="I22" s="12" t="s">
        <v>5</v>
      </c>
      <c r="J22" s="15">
        <v>0.73509999999999998</v>
      </c>
      <c r="K22" s="9">
        <v>0.76859999999999995</v>
      </c>
      <c r="L22" s="3">
        <v>0.77810000000000001</v>
      </c>
    </row>
    <row r="23" spans="1:14" ht="15.75" x14ac:dyDescent="0.25">
      <c r="A23" s="8" t="s">
        <v>5</v>
      </c>
      <c r="B23" s="9">
        <v>0.77710000000000001</v>
      </c>
      <c r="C23" s="8"/>
      <c r="D23" s="8"/>
      <c r="E23" s="10">
        <v>1569</v>
      </c>
    </row>
    <row r="24" spans="1:14" ht="15.75" x14ac:dyDescent="0.25">
      <c r="A24" s="8" t="s">
        <v>6</v>
      </c>
      <c r="B24" s="9">
        <v>0.66679999999999995</v>
      </c>
      <c r="C24" s="8"/>
      <c r="D24" s="8"/>
      <c r="E24" s="10">
        <v>723</v>
      </c>
      <c r="I24" s="23"/>
      <c r="J24" s="23"/>
      <c r="K24" s="23"/>
      <c r="L24" s="23"/>
      <c r="M24" s="23"/>
      <c r="N24" s="23"/>
    </row>
    <row r="25" spans="1:14" ht="15.75" x14ac:dyDescent="0.25">
      <c r="I25" s="24"/>
      <c r="J25" s="22"/>
      <c r="K25" s="22"/>
      <c r="L25" s="22"/>
      <c r="M25" s="23"/>
      <c r="N25" s="23"/>
    </row>
    <row r="26" spans="1:14" x14ac:dyDescent="0.25">
      <c r="I26" s="23"/>
      <c r="J26" s="23"/>
      <c r="K26" s="23"/>
      <c r="L26" s="23"/>
      <c r="M26" s="23"/>
      <c r="N26" s="23"/>
    </row>
    <row r="27" spans="1:14" x14ac:dyDescent="0.25">
      <c r="I27" s="23"/>
      <c r="J27" s="23"/>
      <c r="K27" s="23"/>
      <c r="L27" s="23"/>
      <c r="M27" s="23"/>
      <c r="N27" s="23"/>
    </row>
    <row r="29" spans="1:14" x14ac:dyDescent="0.25">
      <c r="A29" t="s">
        <v>20</v>
      </c>
    </row>
    <row r="30" spans="1:14" x14ac:dyDescent="0.25">
      <c r="A30" s="6" t="s">
        <v>22</v>
      </c>
      <c r="B30" s="6" t="s">
        <v>13</v>
      </c>
      <c r="C30" s="6" t="s">
        <v>26</v>
      </c>
      <c r="D30" s="6" t="s">
        <v>27</v>
      </c>
      <c r="E30" s="7" t="s">
        <v>28</v>
      </c>
      <c r="F30" s="7" t="s">
        <v>29</v>
      </c>
    </row>
    <row r="31" spans="1:14" x14ac:dyDescent="0.25">
      <c r="A31" s="1" t="s">
        <v>21</v>
      </c>
      <c r="B31" s="5">
        <v>1726</v>
      </c>
      <c r="C31" s="5">
        <v>1720</v>
      </c>
      <c r="D31" s="5">
        <v>6</v>
      </c>
      <c r="E31" s="5">
        <v>3</v>
      </c>
      <c r="F31" s="5">
        <v>3</v>
      </c>
    </row>
    <row r="32" spans="1:14" x14ac:dyDescent="0.25">
      <c r="A32" s="1" t="s">
        <v>23</v>
      </c>
      <c r="B32" s="5">
        <v>1772</v>
      </c>
      <c r="C32" s="5">
        <v>1771</v>
      </c>
      <c r="D32" s="5">
        <v>1</v>
      </c>
      <c r="E32" s="5">
        <v>0</v>
      </c>
      <c r="F32" s="5">
        <v>1</v>
      </c>
    </row>
    <row r="33" spans="1:6" x14ac:dyDescent="0.25">
      <c r="A33" s="1" t="s">
        <v>24</v>
      </c>
      <c r="B33" s="5">
        <v>1805</v>
      </c>
      <c r="C33" s="5">
        <v>1743</v>
      </c>
      <c r="D33" s="5">
        <v>62</v>
      </c>
      <c r="E33" s="5">
        <v>4</v>
      </c>
      <c r="F33" s="5">
        <v>58</v>
      </c>
    </row>
    <row r="34" spans="1:6" x14ac:dyDescent="0.25">
      <c r="A34" s="1" t="s">
        <v>25</v>
      </c>
      <c r="B34" s="5">
        <v>1800</v>
      </c>
      <c r="C34" s="5">
        <v>1745</v>
      </c>
      <c r="D34" s="5">
        <v>55</v>
      </c>
      <c r="E34" s="5">
        <v>6</v>
      </c>
      <c r="F34" s="5">
        <v>49</v>
      </c>
    </row>
  </sheetData>
  <mergeCells count="4">
    <mergeCell ref="J2:L2"/>
    <mergeCell ref="I2:I3"/>
    <mergeCell ref="I15:I16"/>
    <mergeCell ref="J15:L1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BDA5-E0BE-4206-9DCD-BC1FD0D2E165}">
  <dimension ref="B3:M32"/>
  <sheetViews>
    <sheetView topLeftCell="A13" zoomScale="130" zoomScaleNormal="130" workbookViewId="0">
      <selection activeCell="F23" sqref="F23"/>
    </sheetView>
  </sheetViews>
  <sheetFormatPr defaultRowHeight="15" x14ac:dyDescent="0.25"/>
  <cols>
    <col min="6" max="6" width="16.28515625" customWidth="1"/>
    <col min="7" max="7" width="18.5703125" customWidth="1"/>
    <col min="10" max="10" width="8.42578125" customWidth="1"/>
  </cols>
  <sheetData>
    <row r="3" spans="2:12" ht="27" customHeight="1" x14ac:dyDescent="0.3">
      <c r="D3" s="17" t="s">
        <v>41</v>
      </c>
    </row>
    <row r="4" spans="2:12" x14ac:dyDescent="0.25">
      <c r="B4" t="s">
        <v>42</v>
      </c>
      <c r="C4" t="s">
        <v>43</v>
      </c>
      <c r="D4" t="s">
        <v>30</v>
      </c>
      <c r="E4" t="s">
        <v>31</v>
      </c>
    </row>
    <row r="5" spans="2:12" x14ac:dyDescent="0.25">
      <c r="B5">
        <v>1</v>
      </c>
      <c r="C5">
        <v>2</v>
      </c>
      <c r="D5">
        <v>2</v>
      </c>
      <c r="E5">
        <v>2</v>
      </c>
      <c r="I5">
        <v>0</v>
      </c>
      <c r="J5">
        <v>1</v>
      </c>
      <c r="K5">
        <v>2</v>
      </c>
      <c r="L5">
        <v>3</v>
      </c>
    </row>
    <row r="6" spans="2:12" x14ac:dyDescent="0.25">
      <c r="B6">
        <v>3</v>
      </c>
      <c r="C6">
        <v>3</v>
      </c>
      <c r="D6">
        <v>3</v>
      </c>
      <c r="E6">
        <v>2</v>
      </c>
      <c r="H6">
        <v>0</v>
      </c>
    </row>
    <row r="7" spans="2:12" x14ac:dyDescent="0.25">
      <c r="B7">
        <v>1</v>
      </c>
      <c r="C7">
        <v>0</v>
      </c>
      <c r="D7">
        <v>1</v>
      </c>
      <c r="E7">
        <v>3</v>
      </c>
      <c r="H7">
        <v>1</v>
      </c>
    </row>
    <row r="8" spans="2:12" x14ac:dyDescent="0.25">
      <c r="D8">
        <v>2</v>
      </c>
      <c r="E8">
        <v>0</v>
      </c>
      <c r="H8">
        <v>2</v>
      </c>
    </row>
    <row r="9" spans="2:12" x14ac:dyDescent="0.25">
      <c r="D9">
        <v>0</v>
      </c>
      <c r="E9">
        <v>1</v>
      </c>
      <c r="H9">
        <v>3</v>
      </c>
    </row>
    <row r="10" spans="2:12" x14ac:dyDescent="0.25">
      <c r="D10">
        <v>3</v>
      </c>
      <c r="E10">
        <v>2</v>
      </c>
    </row>
    <row r="11" spans="2:12" x14ac:dyDescent="0.25">
      <c r="D11">
        <v>2</v>
      </c>
      <c r="E11">
        <v>3</v>
      </c>
    </row>
    <row r="14" spans="2:12" x14ac:dyDescent="0.25">
      <c r="D14" t="s">
        <v>35</v>
      </c>
      <c r="E14" t="s">
        <v>35</v>
      </c>
    </row>
    <row r="15" spans="2:12" x14ac:dyDescent="0.25">
      <c r="D15" t="s">
        <v>44</v>
      </c>
      <c r="E15" t="s">
        <v>44</v>
      </c>
      <c r="H15" t="s">
        <v>32</v>
      </c>
      <c r="I15" t="s">
        <v>36</v>
      </c>
    </row>
    <row r="16" spans="2:12" x14ac:dyDescent="0.25">
      <c r="I16" s="16" t="s">
        <v>39</v>
      </c>
    </row>
    <row r="17" spans="4:13" x14ac:dyDescent="0.25">
      <c r="D17" t="s">
        <v>45</v>
      </c>
      <c r="G17" s="1"/>
      <c r="H17" s="54" t="s">
        <v>33</v>
      </c>
      <c r="I17" s="54"/>
      <c r="J17" s="54"/>
      <c r="K17" s="54"/>
      <c r="L17" s="54"/>
    </row>
    <row r="18" spans="4:13" x14ac:dyDescent="0.25">
      <c r="G18" s="53" t="s">
        <v>34</v>
      </c>
      <c r="H18" s="6"/>
      <c r="I18" s="6">
        <v>0</v>
      </c>
      <c r="J18" s="6">
        <v>1</v>
      </c>
      <c r="K18" s="6">
        <v>2</v>
      </c>
      <c r="L18" s="6">
        <v>3</v>
      </c>
      <c r="M18" s="7">
        <v>4</v>
      </c>
    </row>
    <row r="19" spans="4:13" x14ac:dyDescent="0.25">
      <c r="G19" s="53"/>
      <c r="H19" s="6">
        <v>0</v>
      </c>
      <c r="I19" s="20">
        <v>0</v>
      </c>
      <c r="J19" s="18">
        <v>0.25</v>
      </c>
      <c r="K19" s="18">
        <v>0.5</v>
      </c>
      <c r="L19" s="18">
        <v>0.75</v>
      </c>
      <c r="M19" s="19">
        <v>1</v>
      </c>
    </row>
    <row r="20" spans="4:13" x14ac:dyDescent="0.25">
      <c r="G20" s="53"/>
      <c r="H20" s="6">
        <v>1</v>
      </c>
      <c r="I20" s="18">
        <v>0.25</v>
      </c>
      <c r="J20" s="20">
        <v>0</v>
      </c>
      <c r="K20" s="18">
        <v>0.25</v>
      </c>
      <c r="L20" s="18">
        <v>0.5</v>
      </c>
      <c r="M20" s="18">
        <v>0.75</v>
      </c>
    </row>
    <row r="21" spans="4:13" x14ac:dyDescent="0.25">
      <c r="G21" s="53"/>
      <c r="H21" s="6">
        <v>2</v>
      </c>
      <c r="I21" s="18">
        <v>0.5</v>
      </c>
      <c r="J21" s="18">
        <v>0.25</v>
      </c>
      <c r="K21" s="20">
        <v>0</v>
      </c>
      <c r="L21" s="18">
        <v>0.25</v>
      </c>
      <c r="M21" s="18">
        <v>0.5</v>
      </c>
    </row>
    <row r="22" spans="4:13" x14ac:dyDescent="0.25">
      <c r="G22" s="53"/>
      <c r="H22" s="6">
        <v>3</v>
      </c>
      <c r="I22" s="18">
        <v>0.75</v>
      </c>
      <c r="J22" s="18">
        <v>0.5</v>
      </c>
      <c r="K22" s="18">
        <v>0.25</v>
      </c>
      <c r="L22" s="20">
        <v>0</v>
      </c>
      <c r="M22" s="18">
        <v>0.25</v>
      </c>
    </row>
    <row r="23" spans="4:13" x14ac:dyDescent="0.25">
      <c r="H23" s="7">
        <v>4</v>
      </c>
      <c r="I23" s="18">
        <v>1</v>
      </c>
      <c r="J23" s="18">
        <v>0.75</v>
      </c>
      <c r="K23" s="18">
        <v>0.5</v>
      </c>
      <c r="L23" s="18">
        <v>0.25</v>
      </c>
      <c r="M23" s="20">
        <v>0</v>
      </c>
    </row>
    <row r="25" spans="4:13" x14ac:dyDescent="0.25">
      <c r="G25" t="s">
        <v>37</v>
      </c>
      <c r="I25" s="16" t="s">
        <v>38</v>
      </c>
    </row>
    <row r="26" spans="4:13" x14ac:dyDescent="0.25">
      <c r="G26" s="1"/>
      <c r="H26" s="54" t="s">
        <v>33</v>
      </c>
      <c r="I26" s="54"/>
      <c r="J26" s="54"/>
      <c r="K26" s="54"/>
      <c r="L26" s="54"/>
    </row>
    <row r="27" spans="4:13" x14ac:dyDescent="0.25">
      <c r="G27" s="53" t="s">
        <v>34</v>
      </c>
      <c r="H27" s="6"/>
      <c r="I27" s="6">
        <v>0</v>
      </c>
      <c r="J27" s="6">
        <v>1</v>
      </c>
      <c r="K27" s="6">
        <v>2</v>
      </c>
      <c r="L27" s="6">
        <v>3</v>
      </c>
      <c r="M27" s="7">
        <v>4</v>
      </c>
    </row>
    <row r="28" spans="4:13" x14ac:dyDescent="0.25">
      <c r="G28" s="53"/>
      <c r="H28" s="6">
        <v>0</v>
      </c>
      <c r="I28" s="18">
        <f>I19^2</f>
        <v>0</v>
      </c>
      <c r="J28" s="18">
        <f t="shared" ref="J28:M28" si="0">J19^2</f>
        <v>6.25E-2</v>
      </c>
      <c r="K28" s="18">
        <f t="shared" si="0"/>
        <v>0.25</v>
      </c>
      <c r="L28" s="18">
        <f t="shared" si="0"/>
        <v>0.5625</v>
      </c>
      <c r="M28" s="18">
        <f t="shared" si="0"/>
        <v>1</v>
      </c>
    </row>
    <row r="29" spans="4:13" x14ac:dyDescent="0.25">
      <c r="G29" s="53"/>
      <c r="H29" s="6">
        <v>1</v>
      </c>
      <c r="I29" s="18">
        <f t="shared" ref="I29:M32" si="1">I20^2</f>
        <v>6.25E-2</v>
      </c>
      <c r="J29" s="18">
        <f t="shared" si="1"/>
        <v>0</v>
      </c>
      <c r="K29" s="18">
        <f t="shared" si="1"/>
        <v>6.25E-2</v>
      </c>
      <c r="L29" s="18">
        <f t="shared" si="1"/>
        <v>0.25</v>
      </c>
      <c r="M29" s="18">
        <f t="shared" si="1"/>
        <v>0.5625</v>
      </c>
    </row>
    <row r="30" spans="4:13" x14ac:dyDescent="0.25">
      <c r="G30" s="53"/>
      <c r="H30" s="6">
        <v>2</v>
      </c>
      <c r="I30" s="18">
        <f t="shared" si="1"/>
        <v>0.25</v>
      </c>
      <c r="J30" s="18">
        <f t="shared" si="1"/>
        <v>6.25E-2</v>
      </c>
      <c r="K30" s="18">
        <f t="shared" si="1"/>
        <v>0</v>
      </c>
      <c r="L30" s="18">
        <f t="shared" si="1"/>
        <v>6.25E-2</v>
      </c>
      <c r="M30" s="18">
        <f t="shared" si="1"/>
        <v>0.25</v>
      </c>
    </row>
    <row r="31" spans="4:13" x14ac:dyDescent="0.25">
      <c r="G31" s="53"/>
      <c r="H31" s="6">
        <v>3</v>
      </c>
      <c r="I31" s="18">
        <f t="shared" si="1"/>
        <v>0.5625</v>
      </c>
      <c r="J31" s="18">
        <f t="shared" si="1"/>
        <v>0.25</v>
      </c>
      <c r="K31" s="18">
        <f t="shared" si="1"/>
        <v>6.25E-2</v>
      </c>
      <c r="L31" s="18">
        <f t="shared" si="1"/>
        <v>0</v>
      </c>
      <c r="M31" s="18">
        <f t="shared" si="1"/>
        <v>6.25E-2</v>
      </c>
    </row>
    <row r="32" spans="4:13" x14ac:dyDescent="0.25">
      <c r="H32" s="7">
        <v>4</v>
      </c>
      <c r="I32" s="18">
        <f t="shared" si="1"/>
        <v>1</v>
      </c>
      <c r="J32" s="18">
        <f t="shared" si="1"/>
        <v>0.5625</v>
      </c>
      <c r="K32" s="18">
        <f t="shared" si="1"/>
        <v>0.25</v>
      </c>
      <c r="L32" s="18">
        <f t="shared" si="1"/>
        <v>6.25E-2</v>
      </c>
      <c r="M32" s="18">
        <f t="shared" si="1"/>
        <v>0</v>
      </c>
    </row>
  </sheetData>
  <mergeCells count="4">
    <mergeCell ref="G18:G22"/>
    <mergeCell ref="H17:L17"/>
    <mergeCell ref="H26:L26"/>
    <mergeCell ref="G27:G3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700D-9EE5-479E-81E2-7968CF4DDEF7}">
  <dimension ref="C3:I38"/>
  <sheetViews>
    <sheetView tabSelected="1" topLeftCell="A12" workbookViewId="0">
      <selection activeCell="V24" sqref="V24"/>
    </sheetView>
  </sheetViews>
  <sheetFormatPr defaultRowHeight="15" x14ac:dyDescent="0.25"/>
  <cols>
    <col min="3" max="3" width="11.42578125" customWidth="1"/>
    <col min="4" max="4" width="12.140625" customWidth="1"/>
    <col min="5" max="5" width="12.7109375" customWidth="1"/>
    <col min="6" max="6" width="12.140625" customWidth="1"/>
  </cols>
  <sheetData>
    <row r="3" spans="3:6" ht="15.75" thickBot="1" x14ac:dyDescent="0.3"/>
    <row r="4" spans="3:6" ht="15.75" thickBot="1" x14ac:dyDescent="0.3">
      <c r="C4" s="51" t="s">
        <v>10</v>
      </c>
      <c r="D4" s="55" t="s">
        <v>9</v>
      </c>
      <c r="E4" s="56"/>
      <c r="F4" s="57"/>
    </row>
    <row r="5" spans="3:6" ht="15.75" thickBot="1" x14ac:dyDescent="0.3">
      <c r="C5" s="52"/>
      <c r="D5" s="11" t="s">
        <v>14</v>
      </c>
      <c r="E5" s="11" t="s">
        <v>15</v>
      </c>
      <c r="F5" s="11" t="s">
        <v>16</v>
      </c>
    </row>
    <row r="6" spans="3:6" ht="16.5" thickBot="1" x14ac:dyDescent="0.3">
      <c r="C6" s="12" t="s">
        <v>0</v>
      </c>
      <c r="D6" s="15">
        <v>0.72009999999999996</v>
      </c>
      <c r="E6" s="9">
        <v>0.71430000000000005</v>
      </c>
      <c r="F6" s="3">
        <v>0.78400000000000003</v>
      </c>
    </row>
    <row r="7" spans="3:6" ht="16.5" thickBot="1" x14ac:dyDescent="0.3">
      <c r="C7" s="12" t="s">
        <v>1</v>
      </c>
      <c r="D7" s="9">
        <v>0.6825</v>
      </c>
      <c r="E7" s="15">
        <v>0.67500000000000004</v>
      </c>
      <c r="F7" s="3">
        <v>0.7016</v>
      </c>
    </row>
    <row r="8" spans="3:6" ht="16.5" thickBot="1" x14ac:dyDescent="0.3">
      <c r="C8" s="12" t="s">
        <v>2</v>
      </c>
      <c r="D8" s="15">
        <v>0.76490000000000002</v>
      </c>
      <c r="E8" s="9">
        <v>0.7742</v>
      </c>
      <c r="F8" s="3">
        <v>0.80789999999999995</v>
      </c>
    </row>
    <row r="9" spans="3:6" ht="16.5" thickBot="1" x14ac:dyDescent="0.3">
      <c r="C9" s="12" t="s">
        <v>3</v>
      </c>
      <c r="D9" s="15">
        <v>0.80769999999999997</v>
      </c>
      <c r="E9" s="9">
        <v>0.81079999999999997</v>
      </c>
      <c r="F9" s="3">
        <v>0.8639</v>
      </c>
    </row>
    <row r="10" spans="3:6" ht="16.5" thickBot="1" x14ac:dyDescent="0.3">
      <c r="C10" s="12" t="s">
        <v>4</v>
      </c>
      <c r="D10" s="9">
        <v>0.7964</v>
      </c>
      <c r="E10" s="15">
        <v>0.79310000000000003</v>
      </c>
      <c r="F10" s="3">
        <v>0.8548</v>
      </c>
    </row>
    <row r="11" spans="3:6" ht="16.5" thickBot="1" x14ac:dyDescent="0.3">
      <c r="C11" s="12" t="s">
        <v>5</v>
      </c>
      <c r="D11" s="15">
        <v>0.73499999999999999</v>
      </c>
      <c r="E11" s="9">
        <v>0.76849999999999996</v>
      </c>
      <c r="F11" s="3">
        <v>0.77800000000000002</v>
      </c>
    </row>
    <row r="13" spans="3:6" ht="15.75" thickBot="1" x14ac:dyDescent="0.3"/>
    <row r="14" spans="3:6" ht="15.75" thickBot="1" x14ac:dyDescent="0.3">
      <c r="C14" s="51" t="s">
        <v>10</v>
      </c>
      <c r="D14" s="55" t="s">
        <v>46</v>
      </c>
      <c r="E14" s="56"/>
      <c r="F14" s="57"/>
    </row>
    <row r="15" spans="3:6" ht="15.75" thickBot="1" x14ac:dyDescent="0.3">
      <c r="C15" s="52"/>
      <c r="D15" s="11" t="s">
        <v>14</v>
      </c>
      <c r="E15" s="11" t="s">
        <v>15</v>
      </c>
      <c r="F15" s="11" t="s">
        <v>16</v>
      </c>
    </row>
    <row r="16" spans="3:6" ht="16.5" thickBot="1" x14ac:dyDescent="0.3">
      <c r="C16" s="12" t="s">
        <v>0</v>
      </c>
      <c r="D16" s="9">
        <v>0.72</v>
      </c>
      <c r="E16" s="9">
        <v>0.71440000000000003</v>
      </c>
      <c r="F16" s="9">
        <v>0.78410000000000002</v>
      </c>
    </row>
    <row r="17" spans="3:9" ht="16.5" thickBot="1" x14ac:dyDescent="0.3">
      <c r="C17" s="12" t="s">
        <v>1</v>
      </c>
      <c r="D17" s="9">
        <v>0.6825</v>
      </c>
      <c r="E17" s="9">
        <v>0.67510000000000003</v>
      </c>
      <c r="F17" s="9">
        <v>0.70169999999999999</v>
      </c>
      <c r="G17" s="21"/>
    </row>
    <row r="18" spans="3:9" ht="16.5" thickBot="1" x14ac:dyDescent="0.3">
      <c r="C18" s="12" t="s">
        <v>2</v>
      </c>
      <c r="D18" s="9">
        <v>0.76500000000000001</v>
      </c>
      <c r="E18" s="9">
        <v>0.7742</v>
      </c>
      <c r="F18" s="9">
        <v>0.80789999999999995</v>
      </c>
      <c r="G18" s="21"/>
    </row>
    <row r="19" spans="3:9" ht="16.5" thickBot="1" x14ac:dyDescent="0.3">
      <c r="C19" s="12" t="s">
        <v>3</v>
      </c>
      <c r="D19" s="9">
        <v>0.80769999999999997</v>
      </c>
      <c r="E19" s="9">
        <v>0.81079999999999997</v>
      </c>
      <c r="F19" s="9">
        <v>0.86399999999999999</v>
      </c>
    </row>
    <row r="20" spans="3:9" ht="16.5" thickBot="1" x14ac:dyDescent="0.3">
      <c r="C20" s="12" t="s">
        <v>4</v>
      </c>
      <c r="D20" s="9">
        <v>0.7964</v>
      </c>
      <c r="E20" s="9">
        <v>0.79310000000000003</v>
      </c>
      <c r="F20" s="9">
        <v>0.8548</v>
      </c>
    </row>
    <row r="21" spans="3:9" ht="16.5" thickBot="1" x14ac:dyDescent="0.3">
      <c r="C21" s="12" t="s">
        <v>5</v>
      </c>
      <c r="D21" s="9">
        <v>0.73509999999999998</v>
      </c>
      <c r="E21" s="9">
        <v>0.76859999999999995</v>
      </c>
      <c r="F21" s="9">
        <v>0.77810000000000001</v>
      </c>
    </row>
    <row r="23" spans="3:9" ht="15.75" thickBot="1" x14ac:dyDescent="0.3"/>
    <row r="24" spans="3:9" ht="15.75" thickBot="1" x14ac:dyDescent="0.3">
      <c r="C24" s="51" t="s">
        <v>10</v>
      </c>
      <c r="D24" s="55" t="s">
        <v>90</v>
      </c>
      <c r="E24" s="56"/>
      <c r="F24" s="57"/>
    </row>
    <row r="25" spans="3:9" ht="15.75" thickBot="1" x14ac:dyDescent="0.3">
      <c r="C25" s="52"/>
      <c r="D25" s="11" t="s">
        <v>14</v>
      </c>
      <c r="E25" s="11" t="s">
        <v>15</v>
      </c>
      <c r="F25" s="11" t="s">
        <v>16</v>
      </c>
      <c r="G25" s="45"/>
      <c r="H25" s="45"/>
      <c r="I25" s="45"/>
    </row>
    <row r="26" spans="3:9" ht="16.5" thickBot="1" x14ac:dyDescent="0.3">
      <c r="C26" s="12" t="s">
        <v>0</v>
      </c>
      <c r="D26" s="9">
        <v>0.53</v>
      </c>
      <c r="E26" s="9">
        <v>0.55000000000000004</v>
      </c>
      <c r="F26" s="9">
        <v>0.32</v>
      </c>
      <c r="G26" s="45"/>
      <c r="H26" s="45"/>
      <c r="I26" s="45"/>
    </row>
    <row r="27" spans="3:9" ht="16.5" thickBot="1" x14ac:dyDescent="0.3">
      <c r="C27" s="12" t="s">
        <v>1</v>
      </c>
      <c r="D27" s="9">
        <v>0.49</v>
      </c>
      <c r="E27" s="9">
        <v>0.48</v>
      </c>
      <c r="F27" s="9">
        <v>0.3</v>
      </c>
      <c r="G27" s="45"/>
      <c r="H27" s="45"/>
      <c r="I27" s="45"/>
    </row>
    <row r="28" spans="3:9" ht="16.5" thickBot="1" x14ac:dyDescent="0.3">
      <c r="C28" s="12" t="s">
        <v>2</v>
      </c>
      <c r="D28" s="9">
        <v>0.46</v>
      </c>
      <c r="E28" s="9">
        <v>0.47</v>
      </c>
      <c r="F28" s="9">
        <v>0.28999999999999998</v>
      </c>
      <c r="G28" s="45"/>
      <c r="H28" s="45"/>
      <c r="I28" s="45"/>
    </row>
    <row r="29" spans="3:9" ht="16.5" thickBot="1" x14ac:dyDescent="0.3">
      <c r="C29" s="12" t="s">
        <v>3</v>
      </c>
      <c r="D29" s="9">
        <v>0.48</v>
      </c>
      <c r="E29" s="9">
        <v>0.49</v>
      </c>
      <c r="F29" s="9">
        <v>0.21</v>
      </c>
      <c r="G29" s="22"/>
      <c r="H29" s="45"/>
      <c r="I29" s="45"/>
    </row>
    <row r="30" spans="3:9" ht="16.5" thickBot="1" x14ac:dyDescent="0.3">
      <c r="C30" s="12" t="s">
        <v>4</v>
      </c>
      <c r="D30" s="9">
        <v>0.51</v>
      </c>
      <c r="E30" s="9">
        <v>0.49</v>
      </c>
      <c r="F30" s="9">
        <v>0.24</v>
      </c>
      <c r="G30" s="22"/>
      <c r="H30" s="45"/>
      <c r="I30" s="45"/>
    </row>
    <row r="31" spans="3:9" ht="16.5" thickBot="1" x14ac:dyDescent="0.3">
      <c r="C31" s="12" t="s">
        <v>5</v>
      </c>
      <c r="D31" s="9">
        <v>0.1</v>
      </c>
      <c r="E31" s="9">
        <v>0.09</v>
      </c>
      <c r="F31" s="9">
        <v>0.03</v>
      </c>
      <c r="G31" s="22"/>
      <c r="H31" s="45"/>
      <c r="I31" s="45"/>
    </row>
    <row r="32" spans="3:9" ht="15.75" x14ac:dyDescent="0.25">
      <c r="D32" s="45"/>
      <c r="E32" s="22"/>
      <c r="F32" s="22"/>
      <c r="G32" s="22"/>
      <c r="H32" s="45"/>
      <c r="I32" s="45"/>
    </row>
    <row r="33" spans="4:9" ht="15.75" x14ac:dyDescent="0.25">
      <c r="D33" s="45"/>
      <c r="E33" s="22"/>
      <c r="F33" s="22"/>
      <c r="G33" s="22"/>
      <c r="H33" s="45"/>
      <c r="I33" s="45"/>
    </row>
    <row r="34" spans="4:9" ht="15.75" x14ac:dyDescent="0.25">
      <c r="D34" s="45"/>
      <c r="E34" s="22"/>
      <c r="F34" s="22"/>
      <c r="G34" s="22"/>
      <c r="H34" s="45"/>
      <c r="I34" s="45"/>
    </row>
    <row r="35" spans="4:9" x14ac:dyDescent="0.25">
      <c r="D35" s="45"/>
      <c r="E35" s="45"/>
      <c r="F35" s="45"/>
      <c r="G35" s="45"/>
      <c r="H35" s="45"/>
      <c r="I35" s="45"/>
    </row>
    <row r="36" spans="4:9" x14ac:dyDescent="0.25">
      <c r="D36" s="45"/>
      <c r="E36" s="45"/>
      <c r="F36" s="45"/>
      <c r="G36" s="45"/>
      <c r="H36" s="45"/>
      <c r="I36" s="45"/>
    </row>
    <row r="37" spans="4:9" x14ac:dyDescent="0.25">
      <c r="D37" s="45"/>
      <c r="E37" s="45"/>
      <c r="F37" s="45"/>
      <c r="G37" s="45"/>
      <c r="H37" s="45"/>
      <c r="I37" s="45"/>
    </row>
    <row r="38" spans="4:9" x14ac:dyDescent="0.25">
      <c r="D38" s="45"/>
      <c r="E38" s="45"/>
      <c r="F38" s="45"/>
      <c r="G38" s="45"/>
      <c r="H38" s="45"/>
      <c r="I38" s="45"/>
    </row>
  </sheetData>
  <mergeCells count="6">
    <mergeCell ref="C14:C15"/>
    <mergeCell ref="D14:F14"/>
    <mergeCell ref="C4:C5"/>
    <mergeCell ref="D4:F4"/>
    <mergeCell ref="C24:C25"/>
    <mergeCell ref="D24:F2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77CC-C0CF-474F-9BDB-2CDC0106BD0C}">
  <dimension ref="B2:K20"/>
  <sheetViews>
    <sheetView topLeftCell="A5" workbookViewId="0">
      <selection activeCell="F17" sqref="F17"/>
    </sheetView>
  </sheetViews>
  <sheetFormatPr defaultRowHeight="15" x14ac:dyDescent="0.25"/>
  <cols>
    <col min="3" max="3" width="18.5703125" customWidth="1"/>
    <col min="4" max="4" width="16" customWidth="1"/>
    <col min="5" max="5" width="23.42578125" customWidth="1"/>
    <col min="6" max="6" width="16" customWidth="1"/>
    <col min="7" max="7" width="29.140625" customWidth="1"/>
    <col min="10" max="10" width="18.7109375" customWidth="1"/>
    <col min="11" max="11" width="42.7109375" customWidth="1"/>
  </cols>
  <sheetData>
    <row r="2" spans="2:11" ht="15.75" thickBot="1" x14ac:dyDescent="0.3"/>
    <row r="3" spans="2:11" ht="24.75" customHeight="1" thickBot="1" x14ac:dyDescent="0.3">
      <c r="B3" s="31"/>
      <c r="C3" s="25" t="s">
        <v>47</v>
      </c>
      <c r="D3" s="25" t="s">
        <v>68</v>
      </c>
      <c r="E3" s="25" t="s">
        <v>48</v>
      </c>
      <c r="F3" s="25" t="s">
        <v>69</v>
      </c>
      <c r="G3" s="25" t="s">
        <v>48</v>
      </c>
      <c r="H3" s="26"/>
      <c r="I3" s="26"/>
      <c r="J3" s="27" t="s">
        <v>57</v>
      </c>
      <c r="K3" s="28" t="s">
        <v>48</v>
      </c>
    </row>
    <row r="4" spans="2:11" ht="27.75" customHeight="1" thickBot="1" x14ac:dyDescent="0.3">
      <c r="B4" s="32" t="s">
        <v>49</v>
      </c>
      <c r="C4" s="33" t="s">
        <v>51</v>
      </c>
      <c r="D4" s="58">
        <v>0.5</v>
      </c>
      <c r="E4" s="58" t="s">
        <v>53</v>
      </c>
      <c r="F4" s="58">
        <v>0.379</v>
      </c>
      <c r="G4" s="58" t="s">
        <v>63</v>
      </c>
      <c r="H4" s="26"/>
      <c r="I4" s="26"/>
      <c r="J4" s="29" t="s">
        <v>58</v>
      </c>
      <c r="K4" s="30" t="s">
        <v>59</v>
      </c>
    </row>
    <row r="5" spans="2:11" ht="30" customHeight="1" thickBot="1" x14ac:dyDescent="0.3">
      <c r="B5" s="34" t="s">
        <v>50</v>
      </c>
      <c r="C5" s="35" t="s">
        <v>52</v>
      </c>
      <c r="D5" s="59"/>
      <c r="E5" s="59"/>
      <c r="F5" s="59"/>
      <c r="G5" s="59"/>
      <c r="H5" s="26"/>
      <c r="I5" s="26"/>
      <c r="J5" s="29" t="s">
        <v>60</v>
      </c>
      <c r="K5" s="30" t="s">
        <v>61</v>
      </c>
    </row>
    <row r="6" spans="2:11" ht="23.25" customHeight="1" thickBot="1" x14ac:dyDescent="0.3">
      <c r="B6" s="32" t="s">
        <v>49</v>
      </c>
      <c r="C6" s="33" t="s">
        <v>54</v>
      </c>
      <c r="D6" s="58">
        <v>0.78</v>
      </c>
      <c r="E6" s="58" t="s">
        <v>56</v>
      </c>
      <c r="F6" s="58">
        <v>0.66800000000000004</v>
      </c>
      <c r="G6" s="58" t="s">
        <v>56</v>
      </c>
      <c r="H6" s="26"/>
      <c r="I6" s="26"/>
      <c r="J6" s="29" t="s">
        <v>62</v>
      </c>
      <c r="K6" s="30" t="s">
        <v>63</v>
      </c>
    </row>
    <row r="7" spans="2:11" ht="31.5" customHeight="1" thickBot="1" x14ac:dyDescent="0.3">
      <c r="B7" s="34" t="s">
        <v>50</v>
      </c>
      <c r="C7" s="35" t="s">
        <v>55</v>
      </c>
      <c r="D7" s="59"/>
      <c r="E7" s="59"/>
      <c r="F7" s="59"/>
      <c r="G7" s="59"/>
      <c r="H7" s="26"/>
      <c r="I7" s="26"/>
      <c r="J7" s="29" t="s">
        <v>64</v>
      </c>
      <c r="K7" s="30" t="s">
        <v>53</v>
      </c>
    </row>
    <row r="8" spans="2:11" ht="24.75" customHeight="1" thickBot="1" x14ac:dyDescent="0.3">
      <c r="B8" s="26"/>
      <c r="C8" s="26"/>
      <c r="D8" s="26"/>
      <c r="E8" s="26"/>
      <c r="F8" s="26"/>
      <c r="G8" s="26"/>
      <c r="H8" s="26"/>
      <c r="I8" s="26"/>
      <c r="J8" s="29" t="s">
        <v>65</v>
      </c>
      <c r="K8" s="30" t="s">
        <v>56</v>
      </c>
    </row>
    <row r="9" spans="2:11" ht="30" customHeight="1" thickBot="1" x14ac:dyDescent="0.3">
      <c r="B9" s="26"/>
      <c r="C9" s="26"/>
      <c r="D9" s="26"/>
      <c r="E9" s="26"/>
      <c r="F9" s="26"/>
      <c r="G9" s="26"/>
      <c r="H9" s="26"/>
      <c r="I9" s="26"/>
      <c r="J9" s="29" t="s">
        <v>66</v>
      </c>
      <c r="K9" s="30" t="s">
        <v>67</v>
      </c>
    </row>
    <row r="11" spans="2:11" ht="15.75" thickBot="1" x14ac:dyDescent="0.3"/>
    <row r="12" spans="2:11" ht="32.25" thickBot="1" x14ac:dyDescent="0.3">
      <c r="B12" s="27"/>
      <c r="C12" s="28" t="s">
        <v>70</v>
      </c>
      <c r="D12" s="28" t="s">
        <v>9</v>
      </c>
      <c r="E12" s="28" t="s">
        <v>71</v>
      </c>
      <c r="F12" s="28" t="s">
        <v>69</v>
      </c>
      <c r="G12" s="28" t="s">
        <v>71</v>
      </c>
    </row>
    <row r="13" spans="2:11" ht="15.75" x14ac:dyDescent="0.25">
      <c r="B13" s="36" t="s">
        <v>72</v>
      </c>
      <c r="C13" s="37" t="s">
        <v>74</v>
      </c>
      <c r="D13" s="37">
        <v>0.72</v>
      </c>
      <c r="E13" s="37" t="s">
        <v>77</v>
      </c>
      <c r="F13" s="37">
        <v>0.62</v>
      </c>
      <c r="G13" s="37" t="s">
        <v>78</v>
      </c>
    </row>
    <row r="14" spans="2:11" ht="15.75" x14ac:dyDescent="0.25">
      <c r="B14" s="36" t="s">
        <v>73</v>
      </c>
      <c r="C14" s="37" t="s">
        <v>75</v>
      </c>
      <c r="D14" s="37"/>
      <c r="E14" s="37"/>
      <c r="F14" s="37"/>
      <c r="G14" s="37"/>
    </row>
    <row r="15" spans="2:11" ht="15.75" x14ac:dyDescent="0.25">
      <c r="B15" s="36" t="s">
        <v>72</v>
      </c>
      <c r="C15" s="37" t="s">
        <v>74</v>
      </c>
      <c r="D15" s="37">
        <v>0.63</v>
      </c>
      <c r="E15" s="37" t="s">
        <v>78</v>
      </c>
      <c r="F15" s="37">
        <v>0.54</v>
      </c>
      <c r="G15" s="37" t="s">
        <v>78</v>
      </c>
    </row>
    <row r="16" spans="2:11" ht="16.5" thickBot="1" x14ac:dyDescent="0.3">
      <c r="B16" s="29" t="s">
        <v>73</v>
      </c>
      <c r="C16" s="38" t="s">
        <v>76</v>
      </c>
      <c r="D16" s="39"/>
      <c r="E16" s="39"/>
      <c r="F16" s="39"/>
      <c r="G16" s="39"/>
    </row>
    <row r="17" spans="2:7" ht="15.75" x14ac:dyDescent="0.25">
      <c r="B17" s="36" t="s">
        <v>72</v>
      </c>
      <c r="C17" s="37" t="s">
        <v>79</v>
      </c>
      <c r="D17" s="37">
        <v>0.75</v>
      </c>
      <c r="E17" s="37" t="s">
        <v>77</v>
      </c>
      <c r="F17" s="37">
        <v>0.71599999999999997</v>
      </c>
      <c r="G17" s="37" t="s">
        <v>77</v>
      </c>
    </row>
    <row r="18" spans="2:7" ht="15.75" x14ac:dyDescent="0.25">
      <c r="B18" s="36" t="s">
        <v>73</v>
      </c>
      <c r="C18" s="37" t="s">
        <v>80</v>
      </c>
      <c r="D18" s="37"/>
      <c r="E18" s="37"/>
      <c r="F18" s="37"/>
      <c r="G18" s="37"/>
    </row>
    <row r="19" spans="2:7" ht="15.75" x14ac:dyDescent="0.25">
      <c r="B19" s="36" t="s">
        <v>72</v>
      </c>
      <c r="C19" s="37" t="s">
        <v>81</v>
      </c>
      <c r="D19" s="37">
        <v>0.67</v>
      </c>
      <c r="E19" s="37" t="s">
        <v>78</v>
      </c>
      <c r="F19" s="37">
        <v>0.66</v>
      </c>
      <c r="G19" s="37" t="s">
        <v>78</v>
      </c>
    </row>
    <row r="20" spans="2:7" ht="16.5" thickBot="1" x14ac:dyDescent="0.3">
      <c r="B20" s="29" t="s">
        <v>73</v>
      </c>
      <c r="C20" s="38" t="s">
        <v>80</v>
      </c>
      <c r="D20" s="39"/>
      <c r="E20" s="39"/>
      <c r="F20" s="39"/>
      <c r="G20" s="39"/>
    </row>
  </sheetData>
  <mergeCells count="8">
    <mergeCell ref="D4:D5"/>
    <mergeCell ref="E4:E5"/>
    <mergeCell ref="D6:D7"/>
    <mergeCell ref="E6:E7"/>
    <mergeCell ref="G4:G5"/>
    <mergeCell ref="G6:G7"/>
    <mergeCell ref="F4:F5"/>
    <mergeCell ref="F6:F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049B-11B8-46A3-9AE7-FF9175F5706B}">
  <dimension ref="B2:O18"/>
  <sheetViews>
    <sheetView workbookViewId="0">
      <selection activeCell="O3" sqref="O3:Q3"/>
    </sheetView>
  </sheetViews>
  <sheetFormatPr defaultRowHeight="15" x14ac:dyDescent="0.25"/>
  <cols>
    <col min="2" max="2" width="13.7109375" customWidth="1"/>
    <col min="3" max="3" width="12.85546875" customWidth="1"/>
    <col min="4" max="4" width="15.140625" customWidth="1"/>
    <col min="5" max="5" width="15" customWidth="1"/>
    <col min="6" max="6" width="14.140625" customWidth="1"/>
    <col min="7" max="7" width="14.5703125" customWidth="1"/>
    <col min="8" max="8" width="14.28515625" customWidth="1"/>
    <col min="9" max="9" width="13.85546875" customWidth="1"/>
    <col min="10" max="10" width="15.28515625" customWidth="1"/>
    <col min="11" max="11" width="14.5703125" customWidth="1"/>
    <col min="12" max="12" width="15.140625" customWidth="1"/>
    <col min="13" max="13" width="14.7109375" customWidth="1"/>
    <col min="14" max="14" width="15.140625" customWidth="1"/>
  </cols>
  <sheetData>
    <row r="2" spans="2:15" ht="15.75" thickBot="1" x14ac:dyDescent="0.3">
      <c r="D2" s="21"/>
      <c r="E2" s="43"/>
      <c r="F2" s="21"/>
      <c r="G2" s="21"/>
      <c r="H2" s="21"/>
      <c r="I2" s="21"/>
      <c r="J2" s="21"/>
      <c r="K2" s="21"/>
      <c r="L2" s="21"/>
      <c r="M2" s="21"/>
      <c r="N2" s="21"/>
    </row>
    <row r="3" spans="2:15" ht="18.75" thickBot="1" x14ac:dyDescent="0.3">
      <c r="B3" s="60" t="s">
        <v>10</v>
      </c>
      <c r="C3" s="62" t="s">
        <v>83</v>
      </c>
      <c r="D3" s="63"/>
      <c r="E3" s="64"/>
      <c r="F3" s="62" t="s">
        <v>82</v>
      </c>
      <c r="G3" s="63"/>
      <c r="H3" s="64"/>
      <c r="I3" s="62" t="s">
        <v>85</v>
      </c>
      <c r="J3" s="63"/>
      <c r="K3" s="64"/>
      <c r="L3" s="62" t="s">
        <v>84</v>
      </c>
      <c r="M3" s="63"/>
      <c r="N3" s="64"/>
    </row>
    <row r="4" spans="2:15" ht="18.75" thickBot="1" x14ac:dyDescent="0.3">
      <c r="B4" s="61"/>
      <c r="C4" s="40" t="s">
        <v>14</v>
      </c>
      <c r="D4" s="40" t="s">
        <v>15</v>
      </c>
      <c r="E4" s="40" t="s">
        <v>16</v>
      </c>
      <c r="F4" s="40" t="s">
        <v>14</v>
      </c>
      <c r="G4" s="40" t="s">
        <v>15</v>
      </c>
      <c r="H4" s="40" t="s">
        <v>16</v>
      </c>
      <c r="I4" s="40" t="s">
        <v>14</v>
      </c>
      <c r="J4" s="40" t="s">
        <v>15</v>
      </c>
      <c r="K4" s="40" t="s">
        <v>16</v>
      </c>
      <c r="L4" s="40" t="s">
        <v>14</v>
      </c>
      <c r="M4" s="40" t="s">
        <v>15</v>
      </c>
      <c r="N4" s="40" t="s">
        <v>16</v>
      </c>
    </row>
    <row r="5" spans="2:15" ht="19.5" thickBot="1" x14ac:dyDescent="0.3">
      <c r="B5" s="41" t="s">
        <v>0</v>
      </c>
      <c r="C5" s="42">
        <v>0.71799999999999997</v>
      </c>
      <c r="D5" s="42">
        <v>0.71279999999999999</v>
      </c>
      <c r="E5" s="42">
        <v>0.78259999999999996</v>
      </c>
      <c r="F5" s="42">
        <v>0.66</v>
      </c>
      <c r="G5" s="42">
        <v>0.66</v>
      </c>
      <c r="H5" s="42">
        <v>0.7</v>
      </c>
      <c r="I5" s="42">
        <v>0.5</v>
      </c>
      <c r="J5" s="42">
        <v>0.52</v>
      </c>
      <c r="K5" s="42">
        <v>0.35</v>
      </c>
      <c r="L5" s="42">
        <v>0.56999999999999995</v>
      </c>
      <c r="M5" s="42">
        <v>0.53</v>
      </c>
      <c r="N5" s="42">
        <v>0.51</v>
      </c>
    </row>
    <row r="6" spans="2:15" ht="19.5" thickBot="1" x14ac:dyDescent="0.3">
      <c r="B6" s="41" t="s">
        <v>1</v>
      </c>
      <c r="C6" s="42">
        <v>0.68189999999999995</v>
      </c>
      <c r="D6" s="42">
        <v>0.67390000000000005</v>
      </c>
      <c r="E6" s="42">
        <v>0.7016</v>
      </c>
      <c r="F6" s="42">
        <v>0.64</v>
      </c>
      <c r="G6" s="42">
        <v>0.63</v>
      </c>
      <c r="H6" s="42">
        <v>0.63</v>
      </c>
      <c r="I6" s="42">
        <v>0.52</v>
      </c>
      <c r="J6" s="42">
        <v>0.51</v>
      </c>
      <c r="K6" s="42">
        <v>0.43</v>
      </c>
      <c r="L6" s="42">
        <v>0.52</v>
      </c>
      <c r="M6" s="42">
        <v>0.52</v>
      </c>
      <c r="N6" s="42">
        <v>0.46</v>
      </c>
    </row>
    <row r="7" spans="2:15" ht="19.5" thickBot="1" x14ac:dyDescent="0.3">
      <c r="B7" s="41" t="s">
        <v>2</v>
      </c>
      <c r="C7" s="42">
        <v>0.76429999999999998</v>
      </c>
      <c r="D7" s="42">
        <v>0.77359999999999995</v>
      </c>
      <c r="E7" s="42">
        <v>0.80730000000000002</v>
      </c>
      <c r="F7" s="42">
        <v>0.7</v>
      </c>
      <c r="G7" s="42">
        <v>0.71</v>
      </c>
      <c r="H7" s="42">
        <v>0.73</v>
      </c>
      <c r="I7" s="42">
        <v>0.51</v>
      </c>
      <c r="J7" s="42">
        <v>0.53</v>
      </c>
      <c r="K7" s="42">
        <v>0.32</v>
      </c>
      <c r="L7" s="42">
        <v>0.64</v>
      </c>
      <c r="M7" s="42">
        <v>0.65</v>
      </c>
      <c r="N7" s="42">
        <v>0.62</v>
      </c>
    </row>
    <row r="8" spans="2:15" ht="19.5" thickBot="1" x14ac:dyDescent="0.3">
      <c r="B8" s="41" t="s">
        <v>3</v>
      </c>
      <c r="C8" s="42">
        <v>0.80730000000000002</v>
      </c>
      <c r="D8" s="42">
        <v>0.81040000000000001</v>
      </c>
      <c r="E8" s="42">
        <v>0.86350000000000005</v>
      </c>
      <c r="F8" s="42">
        <v>0.75</v>
      </c>
      <c r="G8" s="42">
        <v>0.76</v>
      </c>
      <c r="H8" s="42">
        <v>0.79</v>
      </c>
      <c r="I8" s="42">
        <v>0.56000000000000005</v>
      </c>
      <c r="J8" s="42">
        <v>0.56999999999999995</v>
      </c>
      <c r="K8" s="42">
        <v>0.35</v>
      </c>
      <c r="L8" s="42">
        <v>0.69</v>
      </c>
      <c r="M8" s="42">
        <v>0.69</v>
      </c>
      <c r="N8" s="42">
        <v>0.68</v>
      </c>
    </row>
    <row r="9" spans="2:15" ht="19.5" thickBot="1" x14ac:dyDescent="0.3">
      <c r="B9" s="41" t="s">
        <v>4</v>
      </c>
      <c r="C9" s="42">
        <v>0.7964</v>
      </c>
      <c r="D9" s="42">
        <v>0.79290000000000005</v>
      </c>
      <c r="E9" s="42">
        <v>0.85460000000000003</v>
      </c>
      <c r="F9" s="42">
        <v>0.73</v>
      </c>
      <c r="G9" s="42">
        <v>0.73</v>
      </c>
      <c r="H9" s="42">
        <v>0.77</v>
      </c>
      <c r="I9" s="42">
        <v>0.54</v>
      </c>
      <c r="J9" s="42">
        <v>0.52</v>
      </c>
      <c r="K9" s="42">
        <v>0.32</v>
      </c>
      <c r="L9" s="42">
        <v>0.67</v>
      </c>
      <c r="M9" s="42">
        <v>0.65</v>
      </c>
      <c r="N9" s="42">
        <v>0.66</v>
      </c>
    </row>
    <row r="10" spans="2:15" ht="19.5" thickBot="1" x14ac:dyDescent="0.3">
      <c r="B10" s="41" t="s">
        <v>5</v>
      </c>
      <c r="C10" s="42">
        <v>0.73409999999999997</v>
      </c>
      <c r="D10" s="42">
        <v>0.76790000000000003</v>
      </c>
      <c r="E10" s="42">
        <v>0.77710000000000001</v>
      </c>
      <c r="F10" s="42">
        <v>0.64</v>
      </c>
      <c r="G10" s="42">
        <v>0.67</v>
      </c>
      <c r="H10" s="42">
        <v>0.68</v>
      </c>
      <c r="I10" s="42">
        <v>0.18</v>
      </c>
      <c r="J10" s="42">
        <v>0.18</v>
      </c>
      <c r="K10" s="42">
        <v>0.1</v>
      </c>
      <c r="L10" s="42">
        <v>0.35</v>
      </c>
      <c r="M10" s="42">
        <v>0.36</v>
      </c>
      <c r="N10" s="42">
        <v>0.37</v>
      </c>
    </row>
    <row r="13" spans="2:15" ht="18" x14ac:dyDescent="0.25">
      <c r="B13" s="44" t="s">
        <v>0</v>
      </c>
      <c r="L13" s="44" t="s">
        <v>0</v>
      </c>
    </row>
    <row r="14" spans="2:15" ht="15.75" x14ac:dyDescent="0.25">
      <c r="C14" t="s">
        <v>88</v>
      </c>
      <c r="D14" t="s">
        <v>87</v>
      </c>
      <c r="E14" t="s">
        <v>89</v>
      </c>
      <c r="L14" s="46"/>
      <c r="M14" s="46" t="s">
        <v>88</v>
      </c>
      <c r="N14" s="46" t="s">
        <v>87</v>
      </c>
      <c r="O14" s="46" t="s">
        <v>89</v>
      </c>
    </row>
    <row r="15" spans="2:15" ht="15.75" x14ac:dyDescent="0.25">
      <c r="B15" t="s">
        <v>85</v>
      </c>
      <c r="C15" s="22">
        <v>0.5</v>
      </c>
      <c r="D15" s="22">
        <v>0.52</v>
      </c>
      <c r="E15" s="22">
        <v>0.35</v>
      </c>
      <c r="L15" s="46" t="s">
        <v>85</v>
      </c>
      <c r="M15" s="47">
        <v>0.18</v>
      </c>
      <c r="N15" s="47">
        <v>0.18</v>
      </c>
      <c r="O15" s="47">
        <v>0.1</v>
      </c>
    </row>
    <row r="16" spans="2:15" ht="15.75" x14ac:dyDescent="0.25">
      <c r="B16" t="s">
        <v>84</v>
      </c>
      <c r="C16" s="22">
        <v>0.56999999999999995</v>
      </c>
      <c r="D16" s="22">
        <v>0.53</v>
      </c>
      <c r="E16" s="22">
        <v>0.51</v>
      </c>
      <c r="L16" s="46" t="s">
        <v>84</v>
      </c>
      <c r="M16" s="47">
        <v>0.35</v>
      </c>
      <c r="N16" s="47">
        <v>0.36</v>
      </c>
      <c r="O16" s="47">
        <v>0.37</v>
      </c>
    </row>
    <row r="17" spans="2:15" ht="15.75" x14ac:dyDescent="0.25">
      <c r="B17" t="s">
        <v>86</v>
      </c>
      <c r="C17" s="22">
        <v>0.66</v>
      </c>
      <c r="D17" s="22">
        <v>0.66</v>
      </c>
      <c r="E17" s="22">
        <v>0.7</v>
      </c>
      <c r="L17" s="46" t="s">
        <v>86</v>
      </c>
      <c r="M17" s="47">
        <v>0.64</v>
      </c>
      <c r="N17" s="47">
        <v>0.67</v>
      </c>
      <c r="O17" s="47">
        <v>0.68</v>
      </c>
    </row>
    <row r="18" spans="2:15" ht="15.75" x14ac:dyDescent="0.25">
      <c r="B18" t="s">
        <v>9</v>
      </c>
      <c r="C18" s="22">
        <v>0.71799999999999997</v>
      </c>
      <c r="D18" s="22">
        <v>0.71279999999999999</v>
      </c>
      <c r="E18" s="22">
        <v>0.78259999999999996</v>
      </c>
      <c r="L18" s="46" t="s">
        <v>9</v>
      </c>
      <c r="M18" s="47">
        <v>0.73409999999999997</v>
      </c>
      <c r="N18" s="47">
        <v>0.76790000000000003</v>
      </c>
      <c r="O18" s="47">
        <v>0.77710000000000001</v>
      </c>
    </row>
  </sheetData>
  <mergeCells count="5">
    <mergeCell ref="B3:B4"/>
    <mergeCell ref="C3:E3"/>
    <mergeCell ref="F3:H3"/>
    <mergeCell ref="I3:K3"/>
    <mergeCell ref="L3:N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Doewes, Afrizal</dc:creator>
  <cp:lastModifiedBy>Doewes, A.</cp:lastModifiedBy>
  <dcterms:created xsi:type="dcterms:W3CDTF">2015-06-05T18:17:20Z</dcterms:created>
  <dcterms:modified xsi:type="dcterms:W3CDTF">2021-09-24T14:38:07Z</dcterms:modified>
</cp:coreProperties>
</file>